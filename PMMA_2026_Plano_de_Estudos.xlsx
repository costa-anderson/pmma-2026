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Controle_Edital" sheetId="3" state="visible" r:id="rId3"/>
    <sheet xmlns:r="http://schemas.openxmlformats.org/officeDocument/2006/relationships" name="Treinos" sheetId="4" state="visible" r:id="rId4"/>
    <sheet xmlns:r="http://schemas.openxmlformats.org/officeDocument/2006/relationships" name="TAF_Semanal" sheetId="5" state="visible" r:id="rId5"/>
    <sheet xmlns:r="http://schemas.openxmlformats.org/officeDocument/2006/relationships" name="Simulado_Semanal" sheetId="6" state="visible" r:id="rId6"/>
    <sheet xmlns:r="http://schemas.openxmlformats.org/officeDocument/2006/relationships" name="Dados_Dashboard" sheetId="7" state="visible" r:id="rId7"/>
    <sheet xmlns:r="http://schemas.openxmlformats.org/officeDocument/2006/relationships" name="Registro_de_Estudos" sheetId="8" state="visible" r:id="rId8"/>
    <sheet xmlns:r="http://schemas.openxmlformats.org/officeDocument/2006/relationships" name="Caderno_de_Er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i val="1"/>
      <color rgb="00808080"/>
      <sz val="9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808080"/>
      <sz val="9"/>
    </font>
    <font>
      <name val="Arial"/>
      <b val="1"/>
      <color rgb="00808080"/>
      <sz val="9"/>
    </font>
    <font>
      <name val="Arial"/>
      <b val="1"/>
      <color rgb="001F3864"/>
      <sz val="2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9" fontId="7" fillId="4" borderId="0" applyAlignment="1" pivotButton="0" quotePrefix="0" xfId="0">
      <alignment horizontal="center"/>
    </xf>
    <xf numFmtId="3" fontId="7" fillId="4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9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E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'Dados_Dashboard'!D3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'Dados_Dashboard'!$A$4:$A$11</f>
            </numRef>
          </cat>
          <val>
            <numRef>
              <f>'Dados_Dashboard'!$D$4:$D$11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'Dados_Dashboard'!G3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'Dados_Dashboard'!$A$4:$A$11</f>
            </numRef>
          </cat>
          <val>
            <numRef>
              <f>'Dados_Dashboard'!$G$4:$G$11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'Dados_Dashboard'!$A$15:$A$16</f>
            </numRef>
          </cat>
          <val>
            <numRef>
              <f>'Dados_Dashboard'!$B$15:$B$16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'Simulado_Semanal'!G1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'Simulado_Semanal'!$B$2:$B$21</f>
            </numRef>
          </cat>
          <val>
            <numRef>
              <f>'Simulado_Semanal'!$G$2:$G$21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26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📊 PAINEL DE ESTUDOS — PMMA 2026</t>
        </is>
      </c>
    </row>
    <row r="2"/>
    <row r="3">
      <c r="A3" s="3" t="inlineStr">
        <is>
          <t>Soldado do Quadro de Praças (QP) · Prova em 11/10/2026 · Atualize Cronograma, TAF e Simulado para alimentar este painel</t>
        </is>
      </c>
    </row>
    <row r="5" ht="18" customHeight="1">
      <c r="B5" s="4" t="inlineStr">
        <is>
          <t>% DO EDITAL ESTUDADO</t>
        </is>
      </c>
      <c r="D5" s="4" t="inlineStr">
        <is>
          <t>QUESTÕES RESOLVIDAS</t>
        </is>
      </c>
      <c r="F5" s="4" t="inlineStr">
        <is>
          <t>TAXA DE ACERTO GERAL</t>
        </is>
      </c>
      <c r="H5" s="4" t="inlineStr">
        <is>
          <t>DIAS ATÉ A PROVA</t>
        </is>
      </c>
      <c r="J5" s="4" t="inlineStr">
        <is>
          <t>TREINOS DE TAF REGISTRADOS</t>
        </is>
      </c>
    </row>
    <row r="6" ht="30" customHeight="1">
      <c r="B6" s="6">
        <f>IFERROR(COUNTIF(Controle_Edital!E2:E93,"Sim")/COUNTA(Controle_Edital!A2:A93),0)</f>
        <v/>
      </c>
      <c r="D6" s="7">
        <f>SUM(Cronograma!L2:L156)</f>
        <v/>
      </c>
      <c r="F6" s="6">
        <f>IFERROR(SUM(Cronograma!M2:M156)/SUM(Cronograma!L2:L156),0)</f>
        <v/>
      </c>
      <c r="H6" s="7">
        <f>DATE(2026,10,11)-TODAY()</f>
        <v/>
      </c>
      <c r="J6" s="7">
        <f>COUNTA(TAF_Semanal!A2:A19)</f>
        <v/>
      </c>
    </row>
    <row r="7"/>
    <row r="9">
      <c r="A9" s="8" t="inlineStr">
        <is>
          <t>📘 Progresso do Edital por Matéria</t>
        </is>
      </c>
      <c r="G9" s="8" t="inlineStr">
        <is>
          <t>🎯 Taxa de Acerto por Matéria</t>
        </is>
      </c>
    </row>
    <row r="26">
      <c r="A26" s="8" t="inlineStr">
        <is>
          <t>🥧 Estudado x Pendente (Edital)</t>
        </is>
      </c>
      <c r="G26" s="8" t="inlineStr">
        <is>
          <t>📈 Notas dos Simulados</t>
        </is>
      </c>
    </row>
  </sheetData>
  <mergeCells count="12">
    <mergeCell ref="J5:K5"/>
    <mergeCell ref="H6:I7"/>
    <mergeCell ref="B5:C5"/>
    <mergeCell ref="J6:K7"/>
    <mergeCell ref="F5:G5"/>
    <mergeCell ref="D5:E5"/>
    <mergeCell ref="A1:L2"/>
    <mergeCell ref="D6:E7"/>
    <mergeCell ref="B6:C7"/>
    <mergeCell ref="H5:I5"/>
    <mergeCell ref="F6:G7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42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32" customHeight="1">
      <c r="A1" s="9" t="inlineStr">
        <is>
          <t>Data</t>
        </is>
      </c>
      <c r="B1" s="9" t="inlineStr">
        <is>
          <t>Dia</t>
        </is>
      </c>
      <c r="C1" s="9" t="inlineStr">
        <is>
          <t>Semana</t>
        </is>
      </c>
      <c r="D1" s="9" t="inlineStr">
        <is>
          <t>Matéria</t>
        </is>
      </c>
      <c r="E1" s="9" t="inlineStr">
        <is>
          <t>Tema</t>
        </is>
      </c>
      <c r="F1" s="9" t="inlineStr">
        <is>
          <t>Tipo</t>
        </is>
      </c>
      <c r="G1" s="9" t="inlineStr">
        <is>
          <t>Status Probabilidade</t>
        </is>
      </c>
      <c r="H1" s="9" t="inlineStr">
        <is>
          <t>🔥 Quente</t>
        </is>
      </c>
      <c r="I1" s="9" t="inlineStr">
        <is>
          <t>Estudei?</t>
        </is>
      </c>
      <c r="J1" s="9" t="inlineStr">
        <is>
          <t>Tempo (min)</t>
        </is>
      </c>
      <c r="K1" s="9" t="inlineStr">
        <is>
          <t>Fiz Questões?</t>
        </is>
      </c>
      <c r="L1" s="9" t="inlineStr">
        <is>
          <t>Qtd Questões</t>
        </is>
      </c>
      <c r="M1" s="9" t="inlineStr">
        <is>
          <t>Acertos</t>
        </is>
      </c>
      <c r="N1" s="9" t="inlineStr">
        <is>
          <t>Taxa de Acerto</t>
        </is>
      </c>
    </row>
    <row r="2">
      <c r="A2" s="22" t="n">
        <v>46223</v>
      </c>
      <c r="B2" s="11" t="inlineStr">
        <is>
          <t>Segunda</t>
        </is>
      </c>
      <c r="C2" s="11" t="inlineStr">
        <is>
          <t>Semana 1</t>
        </is>
      </c>
      <c r="D2" s="12" t="inlineStr">
        <is>
          <t>Língua Portuguesa</t>
        </is>
      </c>
      <c r="E2" s="12" t="inlineStr">
        <is>
          <t>Interpretação e compreensão textual</t>
        </is>
      </c>
      <c r="F2" s="11" t="inlineStr">
        <is>
          <t>Teoria + Questões</t>
        </is>
      </c>
      <c r="G2" s="11" t="inlineStr">
        <is>
          <t>Alta</t>
        </is>
      </c>
      <c r="H2" s="11" t="inlineStr">
        <is>
          <t>🔥</t>
        </is>
      </c>
      <c r="I2" s="11" t="inlineStr">
        <is>
          <t>Sim</t>
        </is>
      </c>
      <c r="J2" s="11" t="n">
        <v>20</v>
      </c>
      <c r="K2" s="11" t="inlineStr">
        <is>
          <t>Sim</t>
        </is>
      </c>
      <c r="L2" s="11" t="n">
        <v>4</v>
      </c>
      <c r="M2" s="11" t="n">
        <v>4</v>
      </c>
      <c r="N2" s="13" t="n">
        <v>1</v>
      </c>
    </row>
    <row r="3">
      <c r="A3" s="23" t="n">
        <v>46223</v>
      </c>
      <c r="B3" s="15" t="inlineStr">
        <is>
          <t>Segunda</t>
        </is>
      </c>
      <c r="C3" s="15" t="inlineStr">
        <is>
          <t>Semana 1</t>
        </is>
      </c>
      <c r="D3" s="16" t="inlineStr">
        <is>
          <t>Língua Portuguesa</t>
        </is>
      </c>
      <c r="E3" s="16" t="inlineStr">
        <is>
          <t>Reescrita de frases e parágrafos</t>
        </is>
      </c>
      <c r="F3" s="15" t="inlineStr">
        <is>
          <t>Teoria + Questões</t>
        </is>
      </c>
      <c r="G3" s="15" t="inlineStr">
        <is>
          <t>Alta</t>
        </is>
      </c>
      <c r="H3" s="15" t="inlineStr">
        <is>
          <t>🔥</t>
        </is>
      </c>
      <c r="I3" s="15" t="inlineStr">
        <is>
          <t>Sim</t>
        </is>
      </c>
      <c r="J3" s="15" t="n">
        <v>20</v>
      </c>
      <c r="K3" s="15" t="inlineStr">
        <is>
          <t>Sim</t>
        </is>
      </c>
      <c r="L3" s="15" t="n">
        <v>4</v>
      </c>
      <c r="M3" s="15" t="n">
        <v>3</v>
      </c>
      <c r="N3" s="17" t="n">
        <v>0.75</v>
      </c>
    </row>
    <row r="4">
      <c r="A4" s="22" t="n">
        <v>46224</v>
      </c>
      <c r="B4" s="11" t="inlineStr">
        <is>
          <t>Terça</t>
        </is>
      </c>
      <c r="C4" s="11" t="inlineStr">
        <is>
          <t>Semana 1</t>
        </is>
      </c>
      <c r="D4" s="12" t="inlineStr">
        <is>
          <t>Legislação Institucional</t>
        </is>
      </c>
      <c r="E4" s="12" t="inlineStr">
        <is>
          <t>Estatuto 6.513/95: Hierarquia, disciplina, postos e graduações</t>
        </is>
      </c>
      <c r="F4" s="11" t="inlineStr">
        <is>
          <t>Teoria + Questões</t>
        </is>
      </c>
      <c r="G4" s="11" t="inlineStr">
        <is>
          <t>Alta</t>
        </is>
      </c>
      <c r="H4" s="11" t="inlineStr">
        <is>
          <t>🔥</t>
        </is>
      </c>
      <c r="I4" s="11" t="inlineStr">
        <is>
          <t>Sim</t>
        </is>
      </c>
      <c r="J4" s="11" t="n">
        <v>20</v>
      </c>
      <c r="K4" s="11" t="inlineStr">
        <is>
          <t>Sim</t>
        </is>
      </c>
      <c r="L4" s="11" t="n">
        <v>3</v>
      </c>
      <c r="M4" s="11" t="n">
        <v>3</v>
      </c>
      <c r="N4" s="13" t="n">
        <v>1</v>
      </c>
    </row>
    <row r="5">
      <c r="A5" s="23" t="n">
        <v>46224</v>
      </c>
      <c r="B5" s="15" t="inlineStr">
        <is>
          <t>Terça</t>
        </is>
      </c>
      <c r="C5" s="15" t="inlineStr">
        <is>
          <t>Semana 1</t>
        </is>
      </c>
      <c r="D5" s="16" t="inlineStr">
        <is>
          <t>Legislação Institucional</t>
        </is>
      </c>
      <c r="E5" s="16" t="inlineStr">
        <is>
          <t>Estatuto 6.513/95: Direitos, deveres e ética policial-militar</t>
        </is>
      </c>
      <c r="F5" s="15" t="inlineStr">
        <is>
          <t>Teoria + Questões</t>
        </is>
      </c>
      <c r="G5" s="15" t="inlineStr">
        <is>
          <t>Alta</t>
        </is>
      </c>
      <c r="H5" s="15" t="inlineStr">
        <is>
          <t>🔥</t>
        </is>
      </c>
      <c r="I5" s="15" t="inlineStr">
        <is>
          <t>Sim</t>
        </is>
      </c>
      <c r="J5" s="15" t="n">
        <v>20</v>
      </c>
      <c r="K5" s="15" t="inlineStr">
        <is>
          <t>Sim</t>
        </is>
      </c>
      <c r="L5" s="15" t="n">
        <v>4</v>
      </c>
      <c r="M5" s="15" t="n">
        <v>4</v>
      </c>
      <c r="N5" s="17" t="n">
        <v>1</v>
      </c>
    </row>
    <row r="6">
      <c r="A6" s="22" t="n">
        <v>46224</v>
      </c>
      <c r="B6" s="11" t="inlineStr">
        <is>
          <t>Terça</t>
        </is>
      </c>
      <c r="C6" s="11" t="inlineStr">
        <is>
          <t>Semana 1</t>
        </is>
      </c>
      <c r="D6" s="12" t="inlineStr">
        <is>
          <t>Legislação Institucional</t>
        </is>
      </c>
      <c r="E6" s="12" t="inlineStr">
        <is>
          <t>Estatuto 6.513/95: Ingresso, carreira e situações do PM</t>
        </is>
      </c>
      <c r="F6" s="11" t="inlineStr">
        <is>
          <t>Teoria + Questões</t>
        </is>
      </c>
      <c r="G6" s="11" t="inlineStr">
        <is>
          <t>Alta</t>
        </is>
      </c>
      <c r="H6" s="11" t="inlineStr">
        <is>
          <t>🔥</t>
        </is>
      </c>
      <c r="I6" s="11" t="inlineStr">
        <is>
          <t>Sim</t>
        </is>
      </c>
      <c r="J6" s="11" t="n">
        <v>20</v>
      </c>
      <c r="K6" s="11" t="inlineStr">
        <is>
          <t>Sim</t>
        </is>
      </c>
      <c r="L6" s="11" t="n">
        <v>4</v>
      </c>
      <c r="M6" s="11" t="n">
        <v>4</v>
      </c>
      <c r="N6" s="13" t="n">
        <v>1</v>
      </c>
    </row>
    <row r="7">
      <c r="A7" s="23" t="n">
        <v>46225</v>
      </c>
      <c r="B7" s="15" t="inlineStr">
        <is>
          <t>Quarta</t>
        </is>
      </c>
      <c r="C7" s="15" t="inlineStr">
        <is>
          <t>Semana 1</t>
        </is>
      </c>
      <c r="D7" s="16" t="inlineStr">
        <is>
          <t>História do Brasil</t>
        </is>
      </c>
      <c r="E7" s="16" t="inlineStr">
        <is>
          <t>Contribuição de índios e negros na formação do Brasil</t>
        </is>
      </c>
      <c r="F7" s="15" t="inlineStr">
        <is>
          <t>Teoria + Questões</t>
        </is>
      </c>
      <c r="G7" s="15" t="inlineStr">
        <is>
          <t>Média</t>
        </is>
      </c>
      <c r="H7" s="15" t="inlineStr">
        <is>
          <t>-</t>
        </is>
      </c>
      <c r="I7" s="15" t="inlineStr">
        <is>
          <t>Sim</t>
        </is>
      </c>
      <c r="J7" s="15" t="n">
        <v>20</v>
      </c>
      <c r="K7" s="15" t="inlineStr">
        <is>
          <t>Sim</t>
        </is>
      </c>
      <c r="L7" s="15" t="n">
        <v>2</v>
      </c>
      <c r="M7" s="15" t="n">
        <v>2</v>
      </c>
      <c r="N7" s="17" t="n">
        <v>1</v>
      </c>
    </row>
    <row r="8">
      <c r="A8" s="22" t="n">
        <v>46225</v>
      </c>
      <c r="B8" s="11" t="inlineStr">
        <is>
          <t>Quarta</t>
        </is>
      </c>
      <c r="C8" s="11" t="inlineStr">
        <is>
          <t>Semana 1</t>
        </is>
      </c>
      <c r="D8" s="12" t="inlineStr">
        <is>
          <t>História do Brasil</t>
        </is>
      </c>
      <c r="E8" s="12" t="inlineStr">
        <is>
          <t>Formação do Brasil Contemporâneo</t>
        </is>
      </c>
      <c r="F8" s="11" t="inlineStr">
        <is>
          <t>Teoria + Questões</t>
        </is>
      </c>
      <c r="G8" s="11" t="inlineStr">
        <is>
          <t>Média</t>
        </is>
      </c>
      <c r="H8" s="11" t="inlineStr">
        <is>
          <t>-</t>
        </is>
      </c>
      <c r="I8" s="11" t="inlineStr">
        <is>
          <t>Sim</t>
        </is>
      </c>
      <c r="J8" s="11" t="n">
        <v>20</v>
      </c>
      <c r="K8" s="11" t="inlineStr">
        <is>
          <t>Sim</t>
        </is>
      </c>
      <c r="L8" s="11" t="n">
        <v>2</v>
      </c>
      <c r="M8" s="11" t="n">
        <v>2</v>
      </c>
      <c r="N8" s="13" t="n">
        <v>1</v>
      </c>
    </row>
    <row r="9">
      <c r="A9" s="23" t="n">
        <v>46225</v>
      </c>
      <c r="B9" s="15" t="inlineStr">
        <is>
          <t>Quarta</t>
        </is>
      </c>
      <c r="C9" s="15" t="inlineStr">
        <is>
          <t>Semana 1</t>
        </is>
      </c>
      <c r="D9" s="16" t="inlineStr">
        <is>
          <t>História do Maranhão</t>
        </is>
      </c>
      <c r="E9" s="16" t="inlineStr">
        <is>
          <t>França Equinocial: expedição de La Touche</t>
        </is>
      </c>
      <c r="F9" s="15" t="inlineStr">
        <is>
          <t>Teoria + Questões</t>
        </is>
      </c>
      <c r="G9" s="15" t="inlineStr">
        <is>
          <t>Alta</t>
        </is>
      </c>
      <c r="H9" s="15" t="inlineStr">
        <is>
          <t>🔥</t>
        </is>
      </c>
      <c r="I9" s="15" t="inlineStr">
        <is>
          <t>Sim</t>
        </is>
      </c>
      <c r="J9" s="15" t="n">
        <v>20</v>
      </c>
      <c r="K9" s="15" t="inlineStr">
        <is>
          <t>Sim</t>
        </is>
      </c>
      <c r="L9" s="15" t="n">
        <v>3</v>
      </c>
      <c r="M9" s="15" t="n">
        <v>3</v>
      </c>
      <c r="N9" s="17" t="n">
        <v>1</v>
      </c>
    </row>
    <row r="10">
      <c r="A10" s="22" t="n">
        <v>46226</v>
      </c>
      <c r="B10" s="11" t="inlineStr">
        <is>
          <t>Quinta</t>
        </is>
      </c>
      <c r="C10" s="11" t="inlineStr">
        <is>
          <t>Semana 1</t>
        </is>
      </c>
      <c r="D10" s="12" t="inlineStr">
        <is>
          <t>Geografia do Brasil</t>
        </is>
      </c>
      <c r="E10" s="12" t="inlineStr">
        <is>
          <t>Integração à internacionalização da economia</t>
        </is>
      </c>
      <c r="F10" s="11" t="inlineStr">
        <is>
          <t>Teoria + Questões</t>
        </is>
      </c>
      <c r="G10" s="11" t="inlineStr">
        <is>
          <t>Média</t>
        </is>
      </c>
      <c r="H10" s="11" t="inlineStr">
        <is>
          <t>-</t>
        </is>
      </c>
      <c r="I10" s="11" t="inlineStr">
        <is>
          <t>Sim</t>
        </is>
      </c>
      <c r="J10" s="11" t="n">
        <v>20</v>
      </c>
      <c r="K10" s="11" t="inlineStr">
        <is>
          <t>Sim</t>
        </is>
      </c>
      <c r="L10" s="11" t="n">
        <v>3</v>
      </c>
      <c r="M10" s="11" t="n">
        <v>3</v>
      </c>
      <c r="N10" s="13" t="n">
        <v>1</v>
      </c>
    </row>
    <row r="11">
      <c r="A11" s="23" t="n">
        <v>46226</v>
      </c>
      <c r="B11" s="15" t="inlineStr">
        <is>
          <t>Quinta</t>
        </is>
      </c>
      <c r="C11" s="15" t="inlineStr">
        <is>
          <t>Semana 1</t>
        </is>
      </c>
      <c r="D11" s="16" t="inlineStr">
        <is>
          <t>Geografia do Brasil</t>
        </is>
      </c>
      <c r="E11" s="16" t="inlineStr">
        <is>
          <t>Industrialização e organização do espaço</t>
        </is>
      </c>
      <c r="F11" s="15" t="inlineStr">
        <is>
          <t>Teoria + Questões</t>
        </is>
      </c>
      <c r="G11" s="15" t="inlineStr">
        <is>
          <t>Alta</t>
        </is>
      </c>
      <c r="H11" s="15" t="inlineStr">
        <is>
          <t>🔥</t>
        </is>
      </c>
      <c r="I11" s="15" t="inlineStr">
        <is>
          <t>Sim</t>
        </is>
      </c>
      <c r="J11" s="15" t="n">
        <v>20</v>
      </c>
      <c r="K11" s="15" t="inlineStr">
        <is>
          <t>Sim</t>
        </is>
      </c>
      <c r="L11" s="15" t="n">
        <v>2</v>
      </c>
      <c r="M11" s="15" t="n">
        <v>2</v>
      </c>
      <c r="N11" s="17" t="n">
        <v>1</v>
      </c>
    </row>
    <row r="12">
      <c r="A12" s="22" t="n">
        <v>46226</v>
      </c>
      <c r="B12" s="11" t="inlineStr">
        <is>
          <t>Quinta</t>
        </is>
      </c>
      <c r="C12" s="11" t="inlineStr">
        <is>
          <t>Semana 1</t>
        </is>
      </c>
      <c r="D12" s="12" t="inlineStr">
        <is>
          <t>Geografia do Maranhão</t>
        </is>
      </c>
      <c r="E12" s="12" t="inlineStr">
        <is>
          <t>Localização: superfície, limites e APAs</t>
        </is>
      </c>
      <c r="F12" s="11" t="inlineStr">
        <is>
          <t>Teoria + Questões</t>
        </is>
      </c>
      <c r="G12" s="11" t="inlineStr">
        <is>
          <t>Média</t>
        </is>
      </c>
      <c r="H12" s="11" t="inlineStr">
        <is>
          <t>-</t>
        </is>
      </c>
      <c r="I12" s="11" t="inlineStr">
        <is>
          <t>Sim</t>
        </is>
      </c>
      <c r="J12" s="11" t="n">
        <v>20</v>
      </c>
      <c r="K12" s="11" t="inlineStr">
        <is>
          <t>Sim</t>
        </is>
      </c>
      <c r="L12" s="11" t="n">
        <v>4</v>
      </c>
      <c r="M12" s="11" t="n">
        <v>4</v>
      </c>
      <c r="N12" s="13" t="n">
        <v>1</v>
      </c>
    </row>
    <row r="13">
      <c r="A13" s="23" t="n">
        <v>46227</v>
      </c>
      <c r="B13" s="15" t="inlineStr">
        <is>
          <t>Sexta</t>
        </is>
      </c>
      <c r="C13" s="15" t="inlineStr">
        <is>
          <t>Semana 1</t>
        </is>
      </c>
      <c r="D13" s="16" t="inlineStr">
        <is>
          <t>Noções de Informática</t>
        </is>
      </c>
      <c r="E13" s="16" t="inlineStr">
        <is>
          <t>Sistema operacional: Windows e Linux</t>
        </is>
      </c>
      <c r="F13" s="15" t="inlineStr">
        <is>
          <t>Teoria + Questões</t>
        </is>
      </c>
      <c r="G13" s="15" t="inlineStr">
        <is>
          <t>Alta</t>
        </is>
      </c>
      <c r="H13" s="15" t="inlineStr">
        <is>
          <t>🔥</t>
        </is>
      </c>
      <c r="I13" s="15" t="inlineStr">
        <is>
          <t>Sim</t>
        </is>
      </c>
      <c r="J13" s="15" t="n">
        <v>20</v>
      </c>
      <c r="K13" s="15" t="inlineStr">
        <is>
          <t>Sim</t>
        </is>
      </c>
      <c r="L13" s="15" t="n">
        <v>5</v>
      </c>
      <c r="M13" s="15" t="n">
        <v>4</v>
      </c>
      <c r="N13" s="17" t="n">
        <v>0.8</v>
      </c>
    </row>
    <row r="14">
      <c r="A14" s="22" t="n">
        <v>46227</v>
      </c>
      <c r="B14" s="11" t="inlineStr">
        <is>
          <t>Sexta</t>
        </is>
      </c>
      <c r="C14" s="11" t="inlineStr">
        <is>
          <t>Semana 1</t>
        </is>
      </c>
      <c r="D14" s="12" t="inlineStr">
        <is>
          <t>Noções de Informática</t>
        </is>
      </c>
      <c r="E14" s="12" t="inlineStr">
        <is>
          <t>Edição de textos, planilhas e apresentações (Office/BrOffice)</t>
        </is>
      </c>
      <c r="F14" s="11" t="inlineStr">
        <is>
          <t>Teoria + Questões</t>
        </is>
      </c>
      <c r="G14" s="11" t="inlineStr">
        <is>
          <t>Média</t>
        </is>
      </c>
      <c r="H14" s="11" t="inlineStr">
        <is>
          <t>-</t>
        </is>
      </c>
      <c r="I14" s="11" t="inlineStr">
        <is>
          <t>Sim</t>
        </is>
      </c>
      <c r="J14" s="11" t="n">
        <v>20</v>
      </c>
      <c r="K14" s="11" t="inlineStr">
        <is>
          <t>Sim</t>
        </is>
      </c>
      <c r="L14" s="11" t="n">
        <v>6</v>
      </c>
      <c r="M14" s="11" t="n">
        <v>6</v>
      </c>
      <c r="N14" s="13" t="n">
        <v>1</v>
      </c>
    </row>
    <row r="15">
      <c r="A15" s="23" t="n">
        <v>46227</v>
      </c>
      <c r="B15" s="15" t="inlineStr">
        <is>
          <t>Sexta</t>
        </is>
      </c>
      <c r="C15" s="15" t="inlineStr">
        <is>
          <t>Semana 1</t>
        </is>
      </c>
      <c r="D15" s="16" t="inlineStr">
        <is>
          <t>Raciocínio Lógico</t>
        </is>
      </c>
      <c r="E15" s="16" t="inlineStr">
        <is>
          <t>Compreensão de estruturas lógicas</t>
        </is>
      </c>
      <c r="F15" s="15" t="inlineStr">
        <is>
          <t>Teoria + Questões</t>
        </is>
      </c>
      <c r="G15" s="15" t="inlineStr">
        <is>
          <t>Média</t>
        </is>
      </c>
      <c r="H15" s="15" t="inlineStr">
        <is>
          <t>-</t>
        </is>
      </c>
      <c r="I15" s="15" t="inlineStr">
        <is>
          <t>Sim</t>
        </is>
      </c>
      <c r="J15" s="15" t="n">
        <v>20</v>
      </c>
      <c r="K15" s="15" t="inlineStr">
        <is>
          <t>Sim</t>
        </is>
      </c>
      <c r="L15" s="15" t="n">
        <v>4</v>
      </c>
      <c r="M15" s="15" t="n">
        <v>4</v>
      </c>
      <c r="N15" s="17" t="n">
        <v>1</v>
      </c>
    </row>
    <row r="16">
      <c r="A16" s="22" t="n">
        <v>46228</v>
      </c>
      <c r="B16" s="11" t="inlineStr">
        <is>
          <t>Sábado</t>
        </is>
      </c>
      <c r="C16" s="11" t="inlineStr">
        <is>
          <t>Semana 1</t>
        </is>
      </c>
      <c r="D16" s="12" t="inlineStr">
        <is>
          <t>Simulado Geral</t>
        </is>
      </c>
      <c r="E16" s="12" t="inlineStr">
        <is>
          <t>Simulado completo (ver aba Simulado Semanal)</t>
        </is>
      </c>
      <c r="F16" s="11" t="inlineStr">
        <is>
          <t>Simulado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Sim</t>
        </is>
      </c>
      <c r="J16" s="11" t="n">
        <v>60</v>
      </c>
      <c r="K16" s="11" t="inlineStr">
        <is>
          <t>Não</t>
        </is>
      </c>
      <c r="L16" s="11" t="n">
        <v>0</v>
      </c>
      <c r="M16" s="11" t="n">
        <v>0</v>
      </c>
      <c r="N16" s="13" t="n">
        <v>0</v>
      </c>
    </row>
    <row r="17">
      <c r="A17" s="23" t="n">
        <v>46229</v>
      </c>
      <c r="B17" s="15" t="inlineStr">
        <is>
          <t>Domingo</t>
        </is>
      </c>
      <c r="C17" s="15" t="inlineStr">
        <is>
          <t>Semana 1</t>
        </is>
      </c>
      <c r="D17" s="16" t="inlineStr">
        <is>
          <t>TAF</t>
        </is>
      </c>
      <c r="E17" s="16" t="inlineStr">
        <is>
          <t>Teste/treino físico (ver aba TAF Semanal)</t>
        </is>
      </c>
      <c r="F17" s="15" t="inlineStr">
        <is>
          <t>TAF</t>
        </is>
      </c>
      <c r="G17" s="15" t="inlineStr">
        <is>
          <t>-</t>
        </is>
      </c>
      <c r="H17" s="15" t="inlineStr">
        <is>
          <t>-</t>
        </is>
      </c>
      <c r="I17" s="15" t="inlineStr">
        <is>
          <t>Não</t>
        </is>
      </c>
      <c r="J17" s="15" t="n">
        <v>0</v>
      </c>
      <c r="K17" s="15" t="inlineStr">
        <is>
          <t>Não</t>
        </is>
      </c>
      <c r="L17" s="15" t="n">
        <v>0</v>
      </c>
      <c r="M17" s="15" t="n">
        <v>0</v>
      </c>
      <c r="N17" s="17">
        <f>IFERROR(M17/L17,"")</f>
        <v/>
      </c>
    </row>
    <row r="18">
      <c r="A18" s="22" t="n">
        <v>46230</v>
      </c>
      <c r="B18" s="11" t="inlineStr">
        <is>
          <t>Segunda</t>
        </is>
      </c>
      <c r="C18" s="11" t="inlineStr">
        <is>
          <t>Semana 2</t>
        </is>
      </c>
      <c r="D18" s="12" t="inlineStr">
        <is>
          <t>Língua Portuguesa</t>
        </is>
      </c>
      <c r="E18" s="12" t="inlineStr">
        <is>
          <t>Coesão textual (referenciação, conectores)</t>
        </is>
      </c>
      <c r="F18" s="11" t="inlineStr">
        <is>
          <t>Teoria + Questões</t>
        </is>
      </c>
      <c r="G18" s="11" t="inlineStr">
        <is>
          <t>Alta</t>
        </is>
      </c>
      <c r="H18" s="11" t="inlineStr">
        <is>
          <t>🔥</t>
        </is>
      </c>
      <c r="I18" s="11" t="inlineStr">
        <is>
          <t>Sim</t>
        </is>
      </c>
      <c r="J18" s="11" t="n">
        <v>0</v>
      </c>
      <c r="K18" s="11" t="inlineStr">
        <is>
          <t>Sim</t>
        </is>
      </c>
      <c r="L18" s="11" t="n">
        <v>4</v>
      </c>
      <c r="M18" s="11" t="n">
        <v>2</v>
      </c>
      <c r="N18" s="13" t="n">
        <v>0.5</v>
      </c>
    </row>
    <row r="19">
      <c r="A19" s="23" t="n">
        <v>46230</v>
      </c>
      <c r="B19" s="15" t="inlineStr">
        <is>
          <t>Segunda</t>
        </is>
      </c>
      <c r="C19" s="15" t="inlineStr">
        <is>
          <t>Semana 2</t>
        </is>
      </c>
      <c r="D19" s="16" t="inlineStr">
        <is>
          <t>Língua Portuguesa</t>
        </is>
      </c>
      <c r="E19" s="16" t="inlineStr">
        <is>
          <t>Morfossintaxe: classes de palavras</t>
        </is>
      </c>
      <c r="F19" s="15" t="inlineStr">
        <is>
          <t>Teoria + Questões</t>
        </is>
      </c>
      <c r="G19" s="15" t="inlineStr">
        <is>
          <t>Alta</t>
        </is>
      </c>
      <c r="H19" s="15" t="inlineStr">
        <is>
          <t>🔥</t>
        </is>
      </c>
      <c r="I19" s="15" t="inlineStr">
        <is>
          <t>Sim</t>
        </is>
      </c>
      <c r="J19" s="15" t="n">
        <v>0</v>
      </c>
      <c r="K19" s="15" t="inlineStr">
        <is>
          <t>Sim</t>
        </is>
      </c>
      <c r="L19" s="15" t="n">
        <v>4</v>
      </c>
      <c r="M19" s="15" t="n">
        <v>3</v>
      </c>
      <c r="N19" s="17" t="n">
        <v>0.75</v>
      </c>
    </row>
    <row r="20">
      <c r="A20" s="22" t="n">
        <v>46231</v>
      </c>
      <c r="B20" s="11" t="inlineStr">
        <is>
          <t>Terça</t>
        </is>
      </c>
      <c r="C20" s="11" t="inlineStr">
        <is>
          <t>Semana 2</t>
        </is>
      </c>
      <c r="D20" s="12" t="inlineStr">
        <is>
          <t>Legislação Institucional</t>
        </is>
      </c>
      <c r="E20" s="12" t="inlineStr">
        <is>
          <t>Estatuto 6.513/95: Promoções (Art. 78 e 79-A)</t>
        </is>
      </c>
      <c r="F20" s="11" t="inlineStr">
        <is>
          <t>Teoria + Questões</t>
        </is>
      </c>
      <c r="G20" s="11" t="inlineStr">
        <is>
          <t>Alta</t>
        </is>
      </c>
      <c r="H20" s="11" t="inlineStr">
        <is>
          <t>-</t>
        </is>
      </c>
      <c r="I20" s="11" t="inlineStr">
        <is>
          <t>Sim</t>
        </is>
      </c>
      <c r="J20" s="11" t="n">
        <v>0</v>
      </c>
      <c r="K20" s="11" t="inlineStr">
        <is>
          <t>Sim</t>
        </is>
      </c>
      <c r="L20" s="11" t="n">
        <v>6</v>
      </c>
      <c r="M20" s="11" t="n">
        <v>5</v>
      </c>
      <c r="N20" s="13" t="n">
        <v>0.8333333333333334</v>
      </c>
    </row>
    <row r="21">
      <c r="A21" s="23" t="n">
        <v>46231</v>
      </c>
      <c r="B21" s="15" t="inlineStr">
        <is>
          <t>Terça</t>
        </is>
      </c>
      <c r="C21" s="15" t="inlineStr">
        <is>
          <t>Semana 2</t>
        </is>
      </c>
      <c r="D21" s="16" t="inlineStr">
        <is>
          <t>Legislação Institucional</t>
        </is>
      </c>
      <c r="E21" s="16" t="inlineStr">
        <is>
          <t>Lei 14.751/23: Disposições gerais e competências das PMs</t>
        </is>
      </c>
      <c r="F21" s="15" t="inlineStr">
        <is>
          <t>Teoria + Questões</t>
        </is>
      </c>
      <c r="G21" s="15" t="inlineStr">
        <is>
          <t>Alta</t>
        </is>
      </c>
      <c r="H21" s="15" t="inlineStr">
        <is>
          <t>-</t>
        </is>
      </c>
      <c r="I21" s="15" t="inlineStr">
        <is>
          <t>Sim</t>
        </is>
      </c>
      <c r="J21" s="15" t="n">
        <v>0</v>
      </c>
      <c r="K21" s="15" t="inlineStr">
        <is>
          <t>Sim</t>
        </is>
      </c>
      <c r="L21" s="15" t="n">
        <v>5</v>
      </c>
      <c r="M21" s="15" t="n">
        <v>5</v>
      </c>
      <c r="N21" s="17" t="n">
        <v>1</v>
      </c>
    </row>
    <row r="22">
      <c r="A22" s="22" t="n">
        <v>46231</v>
      </c>
      <c r="B22" s="11" t="inlineStr">
        <is>
          <t>Terça</t>
        </is>
      </c>
      <c r="C22" s="11" t="inlineStr">
        <is>
          <t>Semana 2</t>
        </is>
      </c>
      <c r="D22" s="12" t="inlineStr">
        <is>
          <t>Legislação Institucional</t>
        </is>
      </c>
      <c r="E22" s="12" t="inlineStr">
        <is>
          <t>Lei 14.751/23: Organização (direção/apoio/execução/correição)</t>
        </is>
      </c>
      <c r="F22" s="11" t="inlineStr">
        <is>
          <t>Teoria + Questões</t>
        </is>
      </c>
      <c r="G22" s="11" t="inlineStr">
        <is>
          <t>Alta</t>
        </is>
      </c>
      <c r="H22" s="11" t="inlineStr">
        <is>
          <t>-</t>
        </is>
      </c>
      <c r="I22" s="11" t="inlineStr">
        <is>
          <t>Sim</t>
        </is>
      </c>
      <c r="J22" s="11" t="n">
        <v>0</v>
      </c>
      <c r="K22" s="11" t="inlineStr">
        <is>
          <t>Sim</t>
        </is>
      </c>
      <c r="L22" s="11" t="n">
        <v>5</v>
      </c>
      <c r="M22" s="11" t="n">
        <v>3</v>
      </c>
      <c r="N22" s="13" t="n">
        <v>0.6</v>
      </c>
    </row>
    <row r="23">
      <c r="A23" s="23" t="n">
        <v>46232</v>
      </c>
      <c r="B23" s="15" t="inlineStr">
        <is>
          <t>Quarta</t>
        </is>
      </c>
      <c r="C23" s="15" t="inlineStr">
        <is>
          <t>Semana 2</t>
        </is>
      </c>
      <c r="D23" s="16" t="inlineStr">
        <is>
          <t>História do Brasil</t>
        </is>
      </c>
      <c r="E23" s="16" t="inlineStr">
        <is>
          <t>República Velha e estruturas oligárquicas</t>
        </is>
      </c>
      <c r="F23" s="15" t="inlineStr">
        <is>
          <t>Teoria + Questões</t>
        </is>
      </c>
      <c r="G23" s="15" t="inlineStr">
        <is>
          <t>Alta</t>
        </is>
      </c>
      <c r="H23" s="15" t="inlineStr">
        <is>
          <t>🔥</t>
        </is>
      </c>
      <c r="I23" s="15" t="inlineStr">
        <is>
          <t>Sim</t>
        </is>
      </c>
      <c r="J23" s="15" t="n">
        <v>0</v>
      </c>
      <c r="K23" s="15" t="inlineStr">
        <is>
          <t>Sim</t>
        </is>
      </c>
      <c r="L23" s="15" t="n">
        <v>2</v>
      </c>
      <c r="M23" s="15" t="n">
        <v>2</v>
      </c>
      <c r="N23" s="17" t="n">
        <v>1</v>
      </c>
    </row>
    <row r="24">
      <c r="A24" s="22" t="n">
        <v>46232</v>
      </c>
      <c r="B24" s="11" t="inlineStr">
        <is>
          <t>Quarta</t>
        </is>
      </c>
      <c r="C24" s="11" t="inlineStr">
        <is>
          <t>Semana 2</t>
        </is>
      </c>
      <c r="D24" s="12" t="inlineStr">
        <is>
          <t>História do Maranhão</t>
        </is>
      </c>
      <c r="E24" s="12" t="inlineStr">
        <is>
          <t>Fundação de São Luís</t>
        </is>
      </c>
      <c r="F24" s="11" t="inlineStr">
        <is>
          <t>Teoria + Questões</t>
        </is>
      </c>
      <c r="G24" s="11" t="inlineStr">
        <is>
          <t>Alta</t>
        </is>
      </c>
      <c r="H24" s="11" t="inlineStr">
        <is>
          <t>🔥</t>
        </is>
      </c>
      <c r="I24" s="11" t="inlineStr">
        <is>
          <t>Sim</t>
        </is>
      </c>
      <c r="J24" s="11" t="n">
        <v>0</v>
      </c>
      <c r="K24" s="11" t="inlineStr">
        <is>
          <t>Sim</t>
        </is>
      </c>
      <c r="L24" s="11" t="n">
        <v>1</v>
      </c>
      <c r="M24" s="11" t="n">
        <v>1</v>
      </c>
      <c r="N24" s="13" t="n">
        <v>1</v>
      </c>
    </row>
    <row r="25">
      <c r="A25" s="23" t="n">
        <v>46232</v>
      </c>
      <c r="B25" s="15" t="inlineStr">
        <is>
          <t>Quarta</t>
        </is>
      </c>
      <c r="C25" s="15" t="inlineStr">
        <is>
          <t>Semana 2</t>
        </is>
      </c>
      <c r="D25" s="16" t="inlineStr">
        <is>
          <t>História do Maranhão</t>
        </is>
      </c>
      <c r="E25" s="16" t="inlineStr">
        <is>
          <t>Batalha de Guaxenduba</t>
        </is>
      </c>
      <c r="F25" s="15" t="inlineStr">
        <is>
          <t>Teoria + Questões</t>
        </is>
      </c>
      <c r="G25" s="15" t="inlineStr">
        <is>
          <t>Alta</t>
        </is>
      </c>
      <c r="H25" s="15" t="inlineStr">
        <is>
          <t>🔥</t>
        </is>
      </c>
      <c r="I25" s="15" t="inlineStr">
        <is>
          <t>Sim</t>
        </is>
      </c>
      <c r="J25" s="15" t="n">
        <v>0</v>
      </c>
      <c r="K25" s="15" t="inlineStr">
        <is>
          <t>Sim</t>
        </is>
      </c>
      <c r="L25" s="15" t="n">
        <v>1</v>
      </c>
      <c r="M25" s="15" t="n">
        <v>1</v>
      </c>
      <c r="N25" s="17" t="n">
        <v>1</v>
      </c>
    </row>
    <row r="26">
      <c r="A26" s="22" t="n">
        <v>46233</v>
      </c>
      <c r="B26" s="11" t="inlineStr">
        <is>
          <t>Quinta</t>
        </is>
      </c>
      <c r="C26" s="11" t="inlineStr">
        <is>
          <t>Semana 2</t>
        </is>
      </c>
      <c r="D26" s="12" t="inlineStr">
        <is>
          <t>Geografia do Brasil</t>
        </is>
      </c>
      <c r="E26" s="12" t="inlineStr">
        <is>
          <t>Rede brasileira de transportes</t>
        </is>
      </c>
      <c r="F26" s="11" t="inlineStr">
        <is>
          <t>Teoria + Questões</t>
        </is>
      </c>
      <c r="G26" s="11" t="inlineStr">
        <is>
          <t>Média</t>
        </is>
      </c>
      <c r="H26" s="11" t="inlineStr">
        <is>
          <t>-</t>
        </is>
      </c>
      <c r="I26" s="11" t="inlineStr">
        <is>
          <t>Sim</t>
        </is>
      </c>
      <c r="J26" s="11" t="n">
        <v>0</v>
      </c>
      <c r="K26" s="11" t="inlineStr">
        <is>
          <t>Sim</t>
        </is>
      </c>
      <c r="L26" s="11" t="n">
        <v>2</v>
      </c>
      <c r="M26" s="11" t="n">
        <v>2</v>
      </c>
      <c r="N26" s="13" t="n">
        <v>1</v>
      </c>
    </row>
    <row r="27">
      <c r="A27" s="23" t="n">
        <v>46233</v>
      </c>
      <c r="B27" s="15" t="inlineStr">
        <is>
          <t>Quinta</t>
        </is>
      </c>
      <c r="C27" s="15" t="inlineStr">
        <is>
          <t>Semana 2</t>
        </is>
      </c>
      <c r="D27" s="16" t="inlineStr">
        <is>
          <t>Geografia do Maranhão</t>
        </is>
      </c>
      <c r="E27" s="16" t="inlineStr">
        <is>
          <t>Parques nacionais</t>
        </is>
      </c>
      <c r="F27" s="15" t="inlineStr">
        <is>
          <t>Teoria + Questões</t>
        </is>
      </c>
      <c r="G27" s="15" t="inlineStr">
        <is>
          <t>Baixa</t>
        </is>
      </c>
      <c r="H27" s="15" t="inlineStr">
        <is>
          <t>-</t>
        </is>
      </c>
      <c r="I27" s="15" t="inlineStr">
        <is>
          <t>Sim</t>
        </is>
      </c>
      <c r="J27" s="15" t="n">
        <v>0</v>
      </c>
      <c r="K27" s="15" t="inlineStr">
        <is>
          <t>Sim</t>
        </is>
      </c>
      <c r="L27" s="15" t="n">
        <v>2</v>
      </c>
      <c r="M27" s="15" t="n">
        <v>2</v>
      </c>
      <c r="N27" s="17" t="n">
        <v>1</v>
      </c>
    </row>
    <row r="28">
      <c r="A28" s="22" t="n">
        <v>46233</v>
      </c>
      <c r="B28" s="11" t="inlineStr">
        <is>
          <t>Quinta</t>
        </is>
      </c>
      <c r="C28" s="11" t="inlineStr">
        <is>
          <t>Semana 2</t>
        </is>
      </c>
      <c r="D28" s="12" t="inlineStr">
        <is>
          <t>Geografia do Maranhão</t>
        </is>
      </c>
      <c r="E28" s="12" t="inlineStr">
        <is>
          <t>Clima do Maranhão: pluviosidade e temperatura</t>
        </is>
      </c>
      <c r="F28" s="11" t="inlineStr">
        <is>
          <t>Teoria + Questões</t>
        </is>
      </c>
      <c r="G28" s="11" t="inlineStr">
        <is>
          <t>Alta</t>
        </is>
      </c>
      <c r="H28" s="11" t="inlineStr">
        <is>
          <t>🔥</t>
        </is>
      </c>
      <c r="I28" s="11" t="inlineStr">
        <is>
          <t>Sim</t>
        </is>
      </c>
      <c r="J28" s="11" t="n">
        <v>0</v>
      </c>
      <c r="K28" s="11" t="inlineStr">
        <is>
          <t>Sim</t>
        </is>
      </c>
      <c r="L28" s="11" t="n">
        <v>2</v>
      </c>
      <c r="M28" s="11" t="n">
        <v>2</v>
      </c>
      <c r="N28" s="13" t="n">
        <v>1</v>
      </c>
    </row>
    <row r="29">
      <c r="A29" s="23" t="n">
        <v>46234</v>
      </c>
      <c r="B29" s="15" t="inlineStr">
        <is>
          <t>Sexta</t>
        </is>
      </c>
      <c r="C29" s="15" t="inlineStr">
        <is>
          <t>Semana 2</t>
        </is>
      </c>
      <c r="D29" s="16" t="inlineStr">
        <is>
          <t>Noções de Informática</t>
        </is>
      </c>
      <c r="E29" s="16" t="inlineStr">
        <is>
          <t>Redes de computadores: internet e intranet</t>
        </is>
      </c>
      <c r="F29" s="15" t="inlineStr">
        <is>
          <t>Teoria + Questões</t>
        </is>
      </c>
      <c r="G29" s="15" t="inlineStr">
        <is>
          <t>Alta</t>
        </is>
      </c>
      <c r="H29" s="15" t="inlineStr">
        <is>
          <t>🔥</t>
        </is>
      </c>
      <c r="I29" s="15" t="inlineStr">
        <is>
          <t>Sim</t>
        </is>
      </c>
      <c r="J29" s="15" t="n">
        <v>0</v>
      </c>
      <c r="K29" s="15" t="inlineStr">
        <is>
          <t>Sim</t>
        </is>
      </c>
      <c r="L29" s="15" t="n">
        <v>8</v>
      </c>
      <c r="M29" s="15" t="n">
        <v>7</v>
      </c>
      <c r="N29" s="17" t="n">
        <v>0.875</v>
      </c>
    </row>
    <row r="30">
      <c r="A30" s="22" t="n">
        <v>46234</v>
      </c>
      <c r="B30" s="11" t="inlineStr">
        <is>
          <t>Sexta</t>
        </is>
      </c>
      <c r="C30" s="11" t="inlineStr">
        <is>
          <t>Semana 2</t>
        </is>
      </c>
      <c r="D30" s="12" t="inlineStr">
        <is>
          <t>Noções de Informática</t>
        </is>
      </c>
      <c r="E30" s="12" t="inlineStr">
        <is>
          <t>Navegadores (Chrome, Firefox, Edge)</t>
        </is>
      </c>
      <c r="F30" s="11" t="inlineStr">
        <is>
          <t>Teoria + Questões</t>
        </is>
      </c>
      <c r="G30" s="11" t="inlineStr">
        <is>
          <t>Média</t>
        </is>
      </c>
      <c r="H30" s="11" t="inlineStr">
        <is>
          <t>-</t>
        </is>
      </c>
      <c r="I30" s="11" t="inlineStr">
        <is>
          <t>Sim</t>
        </is>
      </c>
      <c r="J30" s="11" t="n">
        <v>0</v>
      </c>
      <c r="K30" s="11" t="inlineStr">
        <is>
          <t>Sim</t>
        </is>
      </c>
      <c r="L30" s="11" t="n">
        <v>6</v>
      </c>
      <c r="M30" s="11" t="n">
        <v>6</v>
      </c>
      <c r="N30" s="13" t="n">
        <v>1</v>
      </c>
    </row>
    <row r="31">
      <c r="A31" s="23" t="n">
        <v>46234</v>
      </c>
      <c r="B31" s="15" t="inlineStr">
        <is>
          <t>Sexta</t>
        </is>
      </c>
      <c r="C31" s="15" t="inlineStr">
        <is>
          <t>Semana 2</t>
        </is>
      </c>
      <c r="D31" s="16" t="inlineStr">
        <is>
          <t>Raciocínio Lógico</t>
        </is>
      </c>
      <c r="E31" s="16" t="inlineStr">
        <is>
          <t>Lógica de argumentação: analogias, inferências, deduções</t>
        </is>
      </c>
      <c r="F31" s="15" t="inlineStr">
        <is>
          <t>Teoria + Questões</t>
        </is>
      </c>
      <c r="G31" s="15" t="inlineStr">
        <is>
          <t>Média</t>
        </is>
      </c>
      <c r="H31" s="15" t="inlineStr">
        <is>
          <t>-</t>
        </is>
      </c>
      <c r="I31" s="15" t="inlineStr">
        <is>
          <t>Sim</t>
        </is>
      </c>
      <c r="J31" s="15" t="n">
        <v>0</v>
      </c>
      <c r="K31" s="15" t="inlineStr">
        <is>
          <t>Sim</t>
        </is>
      </c>
      <c r="L31" s="15" t="n">
        <v>2</v>
      </c>
      <c r="M31" s="15" t="n">
        <v>1</v>
      </c>
      <c r="N31" s="17" t="n">
        <v>0.5</v>
      </c>
    </row>
    <row r="32">
      <c r="A32" s="22" t="n">
        <v>46235</v>
      </c>
      <c r="B32" s="11" t="inlineStr">
        <is>
          <t>Sábado</t>
        </is>
      </c>
      <c r="C32" s="11" t="inlineStr">
        <is>
          <t>Semana 2</t>
        </is>
      </c>
      <c r="D32" s="12" t="inlineStr">
        <is>
          <t>Simulado Geral</t>
        </is>
      </c>
      <c r="E32" s="12" t="inlineStr">
        <is>
          <t>Simulado completo (ver aba Simulado Semanal)</t>
        </is>
      </c>
      <c r="F32" s="11" t="inlineStr">
        <is>
          <t>Simulado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Não</t>
        </is>
      </c>
      <c r="J32" s="11" t="n">
        <v>0</v>
      </c>
      <c r="K32" s="11" t="inlineStr">
        <is>
          <t>Não</t>
        </is>
      </c>
      <c r="L32" s="11" t="n">
        <v>0</v>
      </c>
      <c r="M32" s="11" t="n">
        <v>0</v>
      </c>
      <c r="N32" s="13">
        <f>IFERROR(M32/L32,"")</f>
        <v/>
      </c>
    </row>
    <row r="33">
      <c r="A33" s="23" t="n">
        <v>46236</v>
      </c>
      <c r="B33" s="15" t="inlineStr">
        <is>
          <t>Domingo</t>
        </is>
      </c>
      <c r="C33" s="15" t="inlineStr">
        <is>
          <t>Semana 2</t>
        </is>
      </c>
      <c r="D33" s="16" t="inlineStr">
        <is>
          <t>TAF</t>
        </is>
      </c>
      <c r="E33" s="16" t="inlineStr">
        <is>
          <t>Teste/treino físico (ver aba TAF Semanal)</t>
        </is>
      </c>
      <c r="F33" s="15" t="inlineStr">
        <is>
          <t>TAF</t>
        </is>
      </c>
      <c r="G33" s="15" t="inlineStr">
        <is>
          <t>-</t>
        </is>
      </c>
      <c r="H33" s="15" t="inlineStr">
        <is>
          <t>-</t>
        </is>
      </c>
      <c r="I33" s="15" t="inlineStr">
        <is>
          <t>Não</t>
        </is>
      </c>
      <c r="J33" s="15" t="n">
        <v>0</v>
      </c>
      <c r="K33" s="15" t="inlineStr">
        <is>
          <t>Não</t>
        </is>
      </c>
      <c r="L33" s="15" t="n">
        <v>0</v>
      </c>
      <c r="M33" s="15" t="n">
        <v>0</v>
      </c>
      <c r="N33" s="17">
        <f>IFERROR(M33/L33,"")</f>
        <v/>
      </c>
    </row>
    <row r="34">
      <c r="A34" s="22" t="n">
        <v>46237</v>
      </c>
      <c r="B34" s="11" t="inlineStr">
        <is>
          <t>Segunda</t>
        </is>
      </c>
      <c r="C34" s="11" t="inlineStr">
        <is>
          <t>Semana 3</t>
        </is>
      </c>
      <c r="D34" s="12" t="inlineStr">
        <is>
          <t>Língua Portuguesa</t>
        </is>
      </c>
      <c r="E34" s="12" t="inlineStr">
        <is>
          <t>Concordância verbal e nominal</t>
        </is>
      </c>
      <c r="F34" s="11" t="inlineStr">
        <is>
          <t>Teoria + Questões</t>
        </is>
      </c>
      <c r="G34" s="11" t="inlineStr">
        <is>
          <t>Alta</t>
        </is>
      </c>
      <c r="H34" s="11" t="inlineStr">
        <is>
          <t>🔥</t>
        </is>
      </c>
      <c r="I34" s="11" t="inlineStr">
        <is>
          <t>Não</t>
        </is>
      </c>
      <c r="J34" s="11" t="n">
        <v>0</v>
      </c>
      <c r="K34" s="11" t="inlineStr">
        <is>
          <t>Não</t>
        </is>
      </c>
      <c r="L34" s="11" t="n">
        <v>0</v>
      </c>
      <c r="M34" s="11" t="n">
        <v>0</v>
      </c>
      <c r="N34" s="13">
        <f>IFERROR(M34/L34,"")</f>
        <v/>
      </c>
    </row>
    <row r="35">
      <c r="A35" s="23" t="n">
        <v>46237</v>
      </c>
      <c r="B35" s="15" t="inlineStr">
        <is>
          <t>Segunda</t>
        </is>
      </c>
      <c r="C35" s="15" t="inlineStr">
        <is>
          <t>Semana 3</t>
        </is>
      </c>
      <c r="D35" s="16" t="inlineStr">
        <is>
          <t>Língua Portuguesa</t>
        </is>
      </c>
      <c r="E35" s="16" t="inlineStr">
        <is>
          <t>Regência verbal/nominal, crase e pontuação</t>
        </is>
      </c>
      <c r="F35" s="15" t="inlineStr">
        <is>
          <t>Teoria + Questões</t>
        </is>
      </c>
      <c r="G35" s="15" t="inlineStr">
        <is>
          <t>Alta</t>
        </is>
      </c>
      <c r="H35" s="15" t="inlineStr">
        <is>
          <t>🔥</t>
        </is>
      </c>
      <c r="I35" s="15" t="inlineStr">
        <is>
          <t>Não</t>
        </is>
      </c>
      <c r="J35" s="15" t="n">
        <v>0</v>
      </c>
      <c r="K35" s="15" t="inlineStr">
        <is>
          <t>Não</t>
        </is>
      </c>
      <c r="L35" s="15" t="n">
        <v>0</v>
      </c>
      <c r="M35" s="15" t="n">
        <v>0</v>
      </c>
      <c r="N35" s="17">
        <f>IFERROR(M35/L35,"")</f>
        <v/>
      </c>
    </row>
    <row r="36">
      <c r="A36" s="22" t="n">
        <v>46238</v>
      </c>
      <c r="B36" s="11" t="inlineStr">
        <is>
          <t>Terça</t>
        </is>
      </c>
      <c r="C36" s="11" t="inlineStr">
        <is>
          <t>Semana 3</t>
        </is>
      </c>
      <c r="D36" s="12" t="inlineStr">
        <is>
          <t>Legislação Institucional</t>
        </is>
      </c>
      <c r="E36" s="12" t="inlineStr">
        <is>
          <t>Lei 14.751/23: Hierarquia, quadros e efetivos</t>
        </is>
      </c>
      <c r="F36" s="11" t="inlineStr">
        <is>
          <t>Teoria + Questões</t>
        </is>
      </c>
      <c r="G36" s="11" t="inlineStr">
        <is>
          <t>Alta</t>
        </is>
      </c>
      <c r="H36" s="11" t="inlineStr">
        <is>
          <t>-</t>
        </is>
      </c>
      <c r="I36" s="11" t="inlineStr">
        <is>
          <t>Não</t>
        </is>
      </c>
      <c r="J36" s="11" t="n">
        <v>0</v>
      </c>
      <c r="K36" s="11" t="inlineStr">
        <is>
          <t>Não</t>
        </is>
      </c>
      <c r="L36" s="11" t="n">
        <v>0</v>
      </c>
      <c r="M36" s="11" t="n">
        <v>0</v>
      </c>
      <c r="N36" s="13">
        <f>IFERROR(M36/L36,"")</f>
        <v/>
      </c>
    </row>
    <row r="37">
      <c r="A37" s="23" t="n">
        <v>46238</v>
      </c>
      <c r="B37" s="15" t="inlineStr">
        <is>
          <t>Terça</t>
        </is>
      </c>
      <c r="C37" s="15" t="inlineStr">
        <is>
          <t>Semana 3</t>
        </is>
      </c>
      <c r="D37" s="16" t="inlineStr">
        <is>
          <t>Legislação Institucional</t>
        </is>
      </c>
      <c r="E37" s="16" t="inlineStr">
        <is>
          <t>Lei 14.751/23: Garantias dos militares</t>
        </is>
      </c>
      <c r="F37" s="15" t="inlineStr">
        <is>
          <t>Teoria + Questões</t>
        </is>
      </c>
      <c r="G37" s="15" t="inlineStr">
        <is>
          <t>Média</t>
        </is>
      </c>
      <c r="H37" s="15" t="inlineStr">
        <is>
          <t>-</t>
        </is>
      </c>
      <c r="I37" s="15" t="inlineStr">
        <is>
          <t>Não</t>
        </is>
      </c>
      <c r="J37" s="15" t="n">
        <v>0</v>
      </c>
      <c r="K37" s="15" t="inlineStr">
        <is>
          <t>Não</t>
        </is>
      </c>
      <c r="L37" s="15" t="n">
        <v>0</v>
      </c>
      <c r="M37" s="15" t="n">
        <v>0</v>
      </c>
      <c r="N37" s="17">
        <f>IFERROR(M37/L37,"")</f>
        <v/>
      </c>
    </row>
    <row r="38">
      <c r="A38" s="22" t="n">
        <v>46238</v>
      </c>
      <c r="B38" s="11" t="inlineStr">
        <is>
          <t>Terça</t>
        </is>
      </c>
      <c r="C38" s="11" t="inlineStr">
        <is>
          <t>Semana 3</t>
        </is>
      </c>
      <c r="D38" s="12" t="inlineStr">
        <is>
          <t>Legislação Institucional</t>
        </is>
      </c>
      <c r="E38" s="12" t="inlineStr">
        <is>
          <t>Lei 12.896/26: Natureza jurídica e competências da PMMA (Art. 1-4)</t>
        </is>
      </c>
      <c r="F38" s="11" t="inlineStr">
        <is>
          <t>Teoria + Questões</t>
        </is>
      </c>
      <c r="G38" s="11" t="inlineStr">
        <is>
          <t>Alta</t>
        </is>
      </c>
      <c r="H38" s="11" t="inlineStr">
        <is>
          <t>🔥</t>
        </is>
      </c>
      <c r="I38" s="11" t="inlineStr">
        <is>
          <t>Não</t>
        </is>
      </c>
      <c r="J38" s="11" t="n">
        <v>0</v>
      </c>
      <c r="K38" s="11" t="inlineStr">
        <is>
          <t>Não</t>
        </is>
      </c>
      <c r="L38" s="11" t="n">
        <v>0</v>
      </c>
      <c r="M38" s="11" t="n">
        <v>0</v>
      </c>
      <c r="N38" s="13">
        <f>IFERROR(M38/L38,"")</f>
        <v/>
      </c>
    </row>
    <row r="39">
      <c r="A39" s="23" t="n">
        <v>46239</v>
      </c>
      <c r="B39" s="15" t="inlineStr">
        <is>
          <t>Quarta</t>
        </is>
      </c>
      <c r="C39" s="15" t="inlineStr">
        <is>
          <t>Semana 3</t>
        </is>
      </c>
      <c r="D39" s="16" t="inlineStr">
        <is>
          <t>História do Brasil</t>
        </is>
      </c>
      <c r="E39" s="16" t="inlineStr">
        <is>
          <t>Economia e sociedade: o café</t>
        </is>
      </c>
      <c r="F39" s="15" t="inlineStr">
        <is>
          <t>Teoria + Questões</t>
        </is>
      </c>
      <c r="G39" s="15" t="inlineStr">
        <is>
          <t>Média</t>
        </is>
      </c>
      <c r="H39" s="15" t="inlineStr">
        <is>
          <t>-</t>
        </is>
      </c>
      <c r="I39" s="15" t="inlineStr">
        <is>
          <t>Não</t>
        </is>
      </c>
      <c r="J39" s="15" t="n">
        <v>0</v>
      </c>
      <c r="K39" s="15" t="inlineStr">
        <is>
          <t>Não</t>
        </is>
      </c>
      <c r="L39" s="15" t="n">
        <v>0</v>
      </c>
      <c r="M39" s="15" t="n">
        <v>0</v>
      </c>
      <c r="N39" s="17">
        <f>IFERROR(M39/L39,"")</f>
        <v/>
      </c>
    </row>
    <row r="40">
      <c r="A40" s="22" t="n">
        <v>46239</v>
      </c>
      <c r="B40" s="11" t="inlineStr">
        <is>
          <t>Quarta</t>
        </is>
      </c>
      <c r="C40" s="11" t="inlineStr">
        <is>
          <t>Semana 3</t>
        </is>
      </c>
      <c r="D40" s="12" t="inlineStr">
        <is>
          <t>História do Brasil</t>
        </is>
      </c>
      <c r="E40" s="12" t="inlineStr">
        <is>
          <t>Revolução de 1930</t>
        </is>
      </c>
      <c r="F40" s="11" t="inlineStr">
        <is>
          <t>Teoria + Questões</t>
        </is>
      </c>
      <c r="G40" s="11" t="inlineStr">
        <is>
          <t>Alta</t>
        </is>
      </c>
      <c r="H40" s="11" t="inlineStr">
        <is>
          <t>🔥</t>
        </is>
      </c>
      <c r="I40" s="11" t="inlineStr">
        <is>
          <t>Sim</t>
        </is>
      </c>
      <c r="J40" s="11" t="n">
        <v>0</v>
      </c>
      <c r="K40" s="11" t="inlineStr">
        <is>
          <t>Não</t>
        </is>
      </c>
      <c r="L40" s="11" t="n">
        <v>0</v>
      </c>
      <c r="M40" s="11" t="n">
        <v>0</v>
      </c>
      <c r="N40" s="13" t="n">
        <v>0</v>
      </c>
    </row>
    <row r="41">
      <c r="A41" s="23" t="n">
        <v>46239</v>
      </c>
      <c r="B41" s="15" t="inlineStr">
        <is>
          <t>Quarta</t>
        </is>
      </c>
      <c r="C41" s="15" t="inlineStr">
        <is>
          <t>Semana 3</t>
        </is>
      </c>
      <c r="D41" s="16" t="inlineStr">
        <is>
          <t>História do Maranhão</t>
        </is>
      </c>
      <c r="E41" s="16" t="inlineStr">
        <is>
          <t>Capitães-mores do Maranhão</t>
        </is>
      </c>
      <c r="F41" s="15" t="inlineStr">
        <is>
          <t>Teoria + Questões</t>
        </is>
      </c>
      <c r="G41" s="15" t="inlineStr">
        <is>
          <t>Baixa</t>
        </is>
      </c>
      <c r="H41" s="15" t="inlineStr">
        <is>
          <t>-</t>
        </is>
      </c>
      <c r="I41" s="15" t="inlineStr">
        <is>
          <t>Sim</t>
        </is>
      </c>
      <c r="J41" s="15" t="n">
        <v>0</v>
      </c>
      <c r="K41" s="15" t="inlineStr">
        <is>
          <t>Não</t>
        </is>
      </c>
      <c r="L41" s="15" t="n">
        <v>0</v>
      </c>
      <c r="M41" s="15" t="n">
        <v>0</v>
      </c>
      <c r="N41" s="17" t="n">
        <v>0</v>
      </c>
    </row>
    <row r="42">
      <c r="A42" s="22" t="n">
        <v>46240</v>
      </c>
      <c r="B42" s="11" t="inlineStr">
        <is>
          <t>Quinta</t>
        </is>
      </c>
      <c r="C42" s="11" t="inlineStr">
        <is>
          <t>Semana 3</t>
        </is>
      </c>
      <c r="D42" s="12" t="inlineStr">
        <is>
          <t>Geografia do Brasil</t>
        </is>
      </c>
      <c r="E42" s="12" t="inlineStr">
        <is>
          <t>Estrutura urbana e grandes metrópoles</t>
        </is>
      </c>
      <c r="F42" s="11" t="inlineStr">
        <is>
          <t>Teoria + Questões</t>
        </is>
      </c>
      <c r="G42" s="11" t="inlineStr">
        <is>
          <t>Alta</t>
        </is>
      </c>
      <c r="H42" s="11" t="inlineStr">
        <is>
          <t>🔥</t>
        </is>
      </c>
      <c r="I42" s="11" t="inlineStr">
        <is>
          <t>Não</t>
        </is>
      </c>
      <c r="J42" s="11" t="n">
        <v>0</v>
      </c>
      <c r="K42" s="11" t="inlineStr">
        <is>
          <t>Não</t>
        </is>
      </c>
      <c r="L42" s="11" t="n">
        <v>0</v>
      </c>
      <c r="M42" s="11" t="n">
        <v>0</v>
      </c>
      <c r="N42" s="13">
        <f>IFERROR(M42/L42,"")</f>
        <v/>
      </c>
    </row>
    <row r="43">
      <c r="A43" s="23" t="n">
        <v>46240</v>
      </c>
      <c r="B43" s="15" t="inlineStr">
        <is>
          <t>Quinta</t>
        </is>
      </c>
      <c r="C43" s="15" t="inlineStr">
        <is>
          <t>Semana 3</t>
        </is>
      </c>
      <c r="D43" s="16" t="inlineStr">
        <is>
          <t>Geografia do Brasil</t>
        </is>
      </c>
      <c r="E43" s="16" t="inlineStr">
        <is>
          <t>Fronteiras agrícolas: Centro-Oeste e Amazônia</t>
        </is>
      </c>
      <c r="F43" s="15" t="inlineStr">
        <is>
          <t>Teoria + Questões</t>
        </is>
      </c>
      <c r="G43" s="15" t="inlineStr">
        <is>
          <t>Alta</t>
        </is>
      </c>
      <c r="H43" s="15" t="inlineStr">
        <is>
          <t>🔥</t>
        </is>
      </c>
      <c r="I43" s="15" t="inlineStr">
        <is>
          <t>Sim</t>
        </is>
      </c>
      <c r="J43" s="15" t="n">
        <v>0</v>
      </c>
      <c r="K43" s="15" t="inlineStr">
        <is>
          <t>Não</t>
        </is>
      </c>
      <c r="L43" s="15" t="n">
        <v>0</v>
      </c>
      <c r="M43" s="15" t="n">
        <v>0</v>
      </c>
      <c r="N43" s="17" t="n">
        <v>0</v>
      </c>
    </row>
    <row r="44">
      <c r="A44" s="22" t="n">
        <v>46240</v>
      </c>
      <c r="B44" s="11" t="inlineStr">
        <is>
          <t>Quinta</t>
        </is>
      </c>
      <c r="C44" s="11" t="inlineStr">
        <is>
          <t>Semana 3</t>
        </is>
      </c>
      <c r="D44" s="12" t="inlineStr">
        <is>
          <t>Geografia do Maranhão</t>
        </is>
      </c>
      <c r="E44" s="12" t="inlineStr">
        <is>
          <t>Geomorfologia e classificação do relevo</t>
        </is>
      </c>
      <c r="F44" s="11" t="inlineStr">
        <is>
          <t>Teoria + Questões</t>
        </is>
      </c>
      <c r="G44" s="11" t="inlineStr">
        <is>
          <t>Alta</t>
        </is>
      </c>
      <c r="H44" s="11" t="inlineStr">
        <is>
          <t>🔥</t>
        </is>
      </c>
      <c r="I44" s="11" t="inlineStr">
        <is>
          <t>Não</t>
        </is>
      </c>
      <c r="J44" s="11" t="n">
        <v>0</v>
      </c>
      <c r="K44" s="11" t="inlineStr">
        <is>
          <t>Não</t>
        </is>
      </c>
      <c r="L44" s="11" t="n">
        <v>0</v>
      </c>
      <c r="M44" s="11" t="n">
        <v>0</v>
      </c>
      <c r="N44" s="13">
        <f>IFERROR(M44/L44,"")</f>
        <v/>
      </c>
    </row>
    <row r="45">
      <c r="A45" s="23" t="n">
        <v>46241</v>
      </c>
      <c r="B45" s="15" t="inlineStr">
        <is>
          <t>Sexta</t>
        </is>
      </c>
      <c r="C45" s="15" t="inlineStr">
        <is>
          <t>Semana 3</t>
        </is>
      </c>
      <c r="D45" s="16" t="inlineStr">
        <is>
          <t>Noções de Informática</t>
        </is>
      </c>
      <c r="E45" s="16" t="inlineStr">
        <is>
          <t>Correio eletrônico (Outlook, Thunderbird)</t>
        </is>
      </c>
      <c r="F45" s="15" t="inlineStr">
        <is>
          <t>Teoria + Questões</t>
        </is>
      </c>
      <c r="G45" s="15" t="inlineStr">
        <is>
          <t>Média</t>
        </is>
      </c>
      <c r="H45" s="15" t="inlineStr">
        <is>
          <t>-</t>
        </is>
      </c>
      <c r="I45" s="15" t="inlineStr">
        <is>
          <t>Sim</t>
        </is>
      </c>
      <c r="J45" s="15" t="n">
        <v>0</v>
      </c>
      <c r="K45" s="15" t="inlineStr">
        <is>
          <t>Não</t>
        </is>
      </c>
      <c r="L45" s="15" t="n">
        <v>0</v>
      </c>
      <c r="M45" s="15" t="n">
        <v>0</v>
      </c>
      <c r="N45" s="17" t="n">
        <v>0</v>
      </c>
    </row>
    <row r="46">
      <c r="A46" s="22" t="n">
        <v>46241</v>
      </c>
      <c r="B46" s="11" t="inlineStr">
        <is>
          <t>Sexta</t>
        </is>
      </c>
      <c r="C46" s="11" t="inlineStr">
        <is>
          <t>Semana 3</t>
        </is>
      </c>
      <c r="D46" s="12" t="inlineStr">
        <is>
          <t>Noções de Informática</t>
        </is>
      </c>
      <c r="E46" s="12" t="inlineStr">
        <is>
          <t>Sítios de busca e pesquisa</t>
        </is>
      </c>
      <c r="F46" s="11" t="inlineStr">
        <is>
          <t>Teoria + Questões</t>
        </is>
      </c>
      <c r="G46" s="11" t="inlineStr">
        <is>
          <t>Baixa</t>
        </is>
      </c>
      <c r="H46" s="11" t="inlineStr">
        <is>
          <t>-</t>
        </is>
      </c>
      <c r="I46" s="11" t="inlineStr">
        <is>
          <t>Não</t>
        </is>
      </c>
      <c r="J46" s="11" t="n">
        <v>0</v>
      </c>
      <c r="K46" s="11" t="inlineStr">
        <is>
          <t>Não</t>
        </is>
      </c>
      <c r="L46" s="11" t="n">
        <v>0</v>
      </c>
      <c r="M46" s="11" t="n">
        <v>0</v>
      </c>
      <c r="N46" s="13">
        <f>IFERROR(M46/L46,"")</f>
        <v/>
      </c>
    </row>
    <row r="47">
      <c r="A47" s="23" t="n">
        <v>46241</v>
      </c>
      <c r="B47" s="15" t="inlineStr">
        <is>
          <t>Sexta</t>
        </is>
      </c>
      <c r="C47" s="15" t="inlineStr">
        <is>
          <t>Semana 3</t>
        </is>
      </c>
      <c r="D47" s="16" t="inlineStr">
        <is>
          <t>Raciocínio Lógico</t>
        </is>
      </c>
      <c r="E47" s="16" t="inlineStr">
        <is>
          <t>Lógica sentencial: proposições simples e compostas</t>
        </is>
      </c>
      <c r="F47" s="15" t="inlineStr">
        <is>
          <t>Teoria + Questões</t>
        </is>
      </c>
      <c r="G47" s="15" t="inlineStr">
        <is>
          <t>Alta</t>
        </is>
      </c>
      <c r="H47" s="15" t="inlineStr">
        <is>
          <t>-</t>
        </is>
      </c>
      <c r="I47" s="15" t="inlineStr">
        <is>
          <t>Sim</t>
        </is>
      </c>
      <c r="J47" s="15" t="n">
        <v>0</v>
      </c>
      <c r="K47" s="15" t="inlineStr">
        <is>
          <t>Não</t>
        </is>
      </c>
      <c r="L47" s="15" t="n">
        <v>0</v>
      </c>
      <c r="M47" s="15" t="n">
        <v>0</v>
      </c>
      <c r="N47" s="17" t="n">
        <v>0</v>
      </c>
    </row>
    <row r="48">
      <c r="A48" s="22" t="n">
        <v>46242</v>
      </c>
      <c r="B48" s="11" t="inlineStr">
        <is>
          <t>Sábado</t>
        </is>
      </c>
      <c r="C48" s="11" t="inlineStr">
        <is>
          <t>Semana 3</t>
        </is>
      </c>
      <c r="D48" s="12" t="inlineStr">
        <is>
          <t>Simulado Geral</t>
        </is>
      </c>
      <c r="E48" s="12" t="inlineStr">
        <is>
          <t>Simulado completo (ver aba Simulado Semanal)</t>
        </is>
      </c>
      <c r="F48" s="11" t="inlineStr">
        <is>
          <t>Simulado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Não</t>
        </is>
      </c>
      <c r="J48" s="11" t="n">
        <v>0</v>
      </c>
      <c r="K48" s="11" t="inlineStr">
        <is>
          <t>Não</t>
        </is>
      </c>
      <c r="L48" s="11" t="n">
        <v>0</v>
      </c>
      <c r="M48" s="11" t="n">
        <v>0</v>
      </c>
      <c r="N48" s="13">
        <f>IFERROR(M48/L48,"")</f>
        <v/>
      </c>
    </row>
    <row r="49">
      <c r="A49" s="23" t="n">
        <v>46243</v>
      </c>
      <c r="B49" s="15" t="inlineStr">
        <is>
          <t>Domingo</t>
        </is>
      </c>
      <c r="C49" s="15" t="inlineStr">
        <is>
          <t>Semana 3</t>
        </is>
      </c>
      <c r="D49" s="16" t="inlineStr">
        <is>
          <t>TAF</t>
        </is>
      </c>
      <c r="E49" s="16" t="inlineStr">
        <is>
          <t>Teste/treino físico (ver aba TAF Semanal)</t>
        </is>
      </c>
      <c r="F49" s="15" t="inlineStr">
        <is>
          <t>TAF</t>
        </is>
      </c>
      <c r="G49" s="15" t="inlineStr">
        <is>
          <t>-</t>
        </is>
      </c>
      <c r="H49" s="15" t="inlineStr">
        <is>
          <t>-</t>
        </is>
      </c>
      <c r="I49" s="15" t="inlineStr">
        <is>
          <t>Não</t>
        </is>
      </c>
      <c r="J49" s="15" t="n">
        <v>0</v>
      </c>
      <c r="K49" s="15" t="inlineStr">
        <is>
          <t>Não</t>
        </is>
      </c>
      <c r="L49" s="15" t="n">
        <v>0</v>
      </c>
      <c r="M49" s="15" t="n">
        <v>0</v>
      </c>
      <c r="N49" s="17">
        <f>IFERROR(M49/L49,"")</f>
        <v/>
      </c>
    </row>
    <row r="50">
      <c r="A50" s="22" t="n">
        <v>46244</v>
      </c>
      <c r="B50" s="11" t="inlineStr">
        <is>
          <t>Segunda</t>
        </is>
      </c>
      <c r="C50" s="11" t="inlineStr">
        <is>
          <t>Semana 4</t>
        </is>
      </c>
      <c r="D50" s="12" t="inlineStr">
        <is>
          <t>Língua Portuguesa</t>
        </is>
      </c>
      <c r="E50" s="12" t="inlineStr">
        <is>
          <t>Revisão geral + questões (foco nos temas de maior dificuldade)</t>
        </is>
      </c>
      <c r="F50" s="11" t="inlineStr">
        <is>
          <t>Revisão</t>
        </is>
      </c>
      <c r="G50" s="11" t="inlineStr">
        <is>
          <t>Alta</t>
        </is>
      </c>
      <c r="H50" s="11" t="inlineStr">
        <is>
          <t>-</t>
        </is>
      </c>
      <c r="I50" s="11" t="inlineStr">
        <is>
          <t>Não</t>
        </is>
      </c>
      <c r="J50" s="11" t="n">
        <v>0</v>
      </c>
      <c r="K50" s="11" t="inlineStr">
        <is>
          <t>Não</t>
        </is>
      </c>
      <c r="L50" s="11" t="n">
        <v>0</v>
      </c>
      <c r="M50" s="11" t="n">
        <v>0</v>
      </c>
      <c r="N50" s="13">
        <f>IFERROR(M50/L50,"")</f>
        <v/>
      </c>
    </row>
    <row r="51">
      <c r="A51" s="23" t="n">
        <v>46244</v>
      </c>
      <c r="B51" s="15" t="inlineStr">
        <is>
          <t>Segunda</t>
        </is>
      </c>
      <c r="C51" s="15" t="inlineStr">
        <is>
          <t>Semana 4</t>
        </is>
      </c>
      <c r="D51" s="16" t="inlineStr">
        <is>
          <t>Língua Portuguesa</t>
        </is>
      </c>
      <c r="E51" s="16" t="inlineStr">
        <is>
          <t>Revisão geral + questões (foco nos temas de maior dificuldade)</t>
        </is>
      </c>
      <c r="F51" s="15" t="inlineStr">
        <is>
          <t>Revisão</t>
        </is>
      </c>
      <c r="G51" s="15" t="inlineStr">
        <is>
          <t>Alta</t>
        </is>
      </c>
      <c r="H51" s="15" t="inlineStr">
        <is>
          <t>-</t>
        </is>
      </c>
      <c r="I51" s="15" t="inlineStr">
        <is>
          <t>Não</t>
        </is>
      </c>
      <c r="J51" s="15" t="n">
        <v>0</v>
      </c>
      <c r="K51" s="15" t="inlineStr">
        <is>
          <t>Não</t>
        </is>
      </c>
      <c r="L51" s="15" t="n">
        <v>0</v>
      </c>
      <c r="M51" s="15" t="n">
        <v>0</v>
      </c>
      <c r="N51" s="17">
        <f>IFERROR(M51/L51,"")</f>
        <v/>
      </c>
    </row>
    <row r="52">
      <c r="A52" s="22" t="n">
        <v>46245</v>
      </c>
      <c r="B52" s="11" t="inlineStr">
        <is>
          <t>Terça</t>
        </is>
      </c>
      <c r="C52" s="11" t="inlineStr">
        <is>
          <t>Semana 4</t>
        </is>
      </c>
      <c r="D52" s="12" t="inlineStr">
        <is>
          <t>Legislação Institucional</t>
        </is>
      </c>
      <c r="E52" s="12" t="inlineStr">
        <is>
          <t>Lei 12.896/26: Estrutura organizacional - 5 tipos de órgãos (Art. 5)</t>
        </is>
      </c>
      <c r="F52" s="11" t="inlineStr">
        <is>
          <t>Teoria + Questões</t>
        </is>
      </c>
      <c r="G52" s="11" t="inlineStr">
        <is>
          <t>Alta</t>
        </is>
      </c>
      <c r="H52" s="11" t="inlineStr">
        <is>
          <t>🔥</t>
        </is>
      </c>
      <c r="I52" s="11" t="inlineStr">
        <is>
          <t>Não</t>
        </is>
      </c>
      <c r="J52" s="11" t="n">
        <v>0</v>
      </c>
      <c r="K52" s="11" t="inlineStr">
        <is>
          <t>Não</t>
        </is>
      </c>
      <c r="L52" s="11" t="n">
        <v>0</v>
      </c>
      <c r="M52" s="11" t="n">
        <v>0</v>
      </c>
      <c r="N52" s="13">
        <f>IFERROR(M52/L52,"")</f>
        <v/>
      </c>
    </row>
    <row r="53">
      <c r="A53" s="23" t="n">
        <v>46245</v>
      </c>
      <c r="B53" s="15" t="inlineStr">
        <is>
          <t>Terça</t>
        </is>
      </c>
      <c r="C53" s="15" t="inlineStr">
        <is>
          <t>Semana 4</t>
        </is>
      </c>
      <c r="D53" s="16" t="inlineStr">
        <is>
          <t>Legislação Institucional</t>
        </is>
      </c>
      <c r="E53" s="16" t="inlineStr">
        <is>
          <t>Lei 12.896/26: Hierarquia militar e efetivo (Art. 89 e 92)</t>
        </is>
      </c>
      <c r="F53" s="15" t="inlineStr">
        <is>
          <t>Teoria + Questões</t>
        </is>
      </c>
      <c r="G53" s="15" t="inlineStr">
        <is>
          <t>Alta</t>
        </is>
      </c>
      <c r="H53" s="15" t="inlineStr">
        <is>
          <t>🔥</t>
        </is>
      </c>
      <c r="I53" s="15" t="inlineStr">
        <is>
          <t>Não</t>
        </is>
      </c>
      <c r="J53" s="15" t="n">
        <v>0</v>
      </c>
      <c r="K53" s="15" t="inlineStr">
        <is>
          <t>Não</t>
        </is>
      </c>
      <c r="L53" s="15" t="n">
        <v>0</v>
      </c>
      <c r="M53" s="15" t="n">
        <v>0</v>
      </c>
      <c r="N53" s="17">
        <f>IFERROR(M53/L53,"")</f>
        <v/>
      </c>
    </row>
    <row r="54">
      <c r="A54" s="22" t="n">
        <v>46245</v>
      </c>
      <c r="B54" s="11" t="inlineStr">
        <is>
          <t>Terça</t>
        </is>
      </c>
      <c r="C54" s="11" t="inlineStr">
        <is>
          <t>Semana 4</t>
        </is>
      </c>
      <c r="D54" s="12" t="inlineStr">
        <is>
          <t>Legislação Institucional</t>
        </is>
      </c>
      <c r="E54" s="12" t="inlineStr">
        <is>
          <t>Lei 12.896/26: Quadros de pessoal - QOEM, QOE, QP etc (Art. 93)</t>
        </is>
      </c>
      <c r="F54" s="11" t="inlineStr">
        <is>
          <t>Teoria + Questões</t>
        </is>
      </c>
      <c r="G54" s="11" t="inlineStr">
        <is>
          <t>Alta</t>
        </is>
      </c>
      <c r="H54" s="11" t="inlineStr">
        <is>
          <t>🔥</t>
        </is>
      </c>
      <c r="I54" s="11" t="inlineStr">
        <is>
          <t>Não</t>
        </is>
      </c>
      <c r="J54" s="11" t="n">
        <v>0</v>
      </c>
      <c r="K54" s="11" t="inlineStr">
        <is>
          <t>Não</t>
        </is>
      </c>
      <c r="L54" s="11" t="n">
        <v>0</v>
      </c>
      <c r="M54" s="11" t="n">
        <v>0</v>
      </c>
      <c r="N54" s="13">
        <f>IFERROR(M54/L54,"")</f>
        <v/>
      </c>
    </row>
    <row r="55">
      <c r="A55" s="23" t="n">
        <v>46246</v>
      </c>
      <c r="B55" s="15" t="inlineStr">
        <is>
          <t>Quarta</t>
        </is>
      </c>
      <c r="C55" s="15" t="inlineStr">
        <is>
          <t>Semana 4</t>
        </is>
      </c>
      <c r="D55" s="16" t="inlineStr">
        <is>
          <t>História do Brasil</t>
        </is>
      </c>
      <c r="E55" s="16" t="inlineStr">
        <is>
          <t>Era Vargas: política, economia e sociedade</t>
        </is>
      </c>
      <c r="F55" s="15" t="inlineStr">
        <is>
          <t>Teoria + Questões</t>
        </is>
      </c>
      <c r="G55" s="15" t="inlineStr">
        <is>
          <t>Alta</t>
        </is>
      </c>
      <c r="H55" s="15" t="inlineStr">
        <is>
          <t>🔥</t>
        </is>
      </c>
      <c r="I55" s="15" t="inlineStr">
        <is>
          <t>Não</t>
        </is>
      </c>
      <c r="J55" s="15" t="n">
        <v>0</v>
      </c>
      <c r="K55" s="15" t="inlineStr">
        <is>
          <t>Não</t>
        </is>
      </c>
      <c r="L55" s="15" t="n">
        <v>0</v>
      </c>
      <c r="M55" s="15" t="n">
        <v>0</v>
      </c>
      <c r="N55" s="17">
        <f>IFERROR(M55/L55,"")</f>
        <v/>
      </c>
    </row>
    <row r="56">
      <c r="A56" s="22" t="n">
        <v>46246</v>
      </c>
      <c r="B56" s="11" t="inlineStr">
        <is>
          <t>Quarta</t>
        </is>
      </c>
      <c r="C56" s="11" t="inlineStr">
        <is>
          <t>Semana 4</t>
        </is>
      </c>
      <c r="D56" s="12" t="inlineStr">
        <is>
          <t>História do Maranhão</t>
        </is>
      </c>
      <c r="E56" s="12" t="inlineStr">
        <is>
          <t>Invasão e expulsão dos holandeses</t>
        </is>
      </c>
      <c r="F56" s="11" t="inlineStr">
        <is>
          <t>Teoria + Questões</t>
        </is>
      </c>
      <c r="G56" s="11" t="inlineStr">
        <is>
          <t>Média</t>
        </is>
      </c>
      <c r="H56" s="11" t="inlineStr">
        <is>
          <t>-</t>
        </is>
      </c>
      <c r="I56" s="11" t="inlineStr">
        <is>
          <t>Não</t>
        </is>
      </c>
      <c r="J56" s="11" t="n">
        <v>0</v>
      </c>
      <c r="K56" s="11" t="inlineStr">
        <is>
          <t>Não</t>
        </is>
      </c>
      <c r="L56" s="11" t="n">
        <v>0</v>
      </c>
      <c r="M56" s="11" t="n">
        <v>0</v>
      </c>
      <c r="N56" s="13">
        <f>IFERROR(M56/L56,"")</f>
        <v/>
      </c>
    </row>
    <row r="57">
      <c r="A57" s="23" t="n">
        <v>46246</v>
      </c>
      <c r="B57" s="15" t="inlineStr">
        <is>
          <t>Quarta</t>
        </is>
      </c>
      <c r="C57" s="15" t="inlineStr">
        <is>
          <t>Semana 4</t>
        </is>
      </c>
      <c r="D57" s="16" t="inlineStr">
        <is>
          <t>História do Maranhão</t>
        </is>
      </c>
      <c r="E57" s="16" t="inlineStr">
        <is>
          <t>Estado do Maranhão e Grão-Pará / Revolta de Beckman</t>
        </is>
      </c>
      <c r="F57" s="15" t="inlineStr">
        <is>
          <t>Teoria + Questões</t>
        </is>
      </c>
      <c r="G57" s="15" t="inlineStr">
        <is>
          <t>Alta</t>
        </is>
      </c>
      <c r="H57" s="15" t="inlineStr">
        <is>
          <t>🔥</t>
        </is>
      </c>
      <c r="I57" s="15" t="inlineStr">
        <is>
          <t>Não</t>
        </is>
      </c>
      <c r="J57" s="15" t="n">
        <v>0</v>
      </c>
      <c r="K57" s="15" t="inlineStr">
        <is>
          <t>Não</t>
        </is>
      </c>
      <c r="L57" s="15" t="n">
        <v>0</v>
      </c>
      <c r="M57" s="15" t="n">
        <v>0</v>
      </c>
      <c r="N57" s="17">
        <f>IFERROR(M57/L57,"")</f>
        <v/>
      </c>
    </row>
    <row r="58">
      <c r="A58" s="22" t="n">
        <v>46247</v>
      </c>
      <c r="B58" s="11" t="inlineStr">
        <is>
          <t>Quinta</t>
        </is>
      </c>
      <c r="C58" s="11" t="inlineStr">
        <is>
          <t>Semana 4</t>
        </is>
      </c>
      <c r="D58" s="12" t="inlineStr">
        <is>
          <t>Geografia do Brasil</t>
        </is>
      </c>
      <c r="E58" s="12" t="inlineStr">
        <is>
          <t>Estrutura fundiária e problemas demográficos</t>
        </is>
      </c>
      <c r="F58" s="11" t="inlineStr">
        <is>
          <t>Teoria + Questões</t>
        </is>
      </c>
      <c r="G58" s="11" t="inlineStr">
        <is>
          <t>Alta</t>
        </is>
      </c>
      <c r="H58" s="11" t="inlineStr">
        <is>
          <t>🔥</t>
        </is>
      </c>
      <c r="I58" s="11" t="inlineStr">
        <is>
          <t>Não</t>
        </is>
      </c>
      <c r="J58" s="11" t="n">
        <v>0</v>
      </c>
      <c r="K58" s="11" t="inlineStr">
        <is>
          <t>Não</t>
        </is>
      </c>
      <c r="L58" s="11" t="n">
        <v>0</v>
      </c>
      <c r="M58" s="11" t="n">
        <v>0</v>
      </c>
      <c r="N58" s="13">
        <f>IFERROR(M58/L58,"")</f>
        <v/>
      </c>
    </row>
    <row r="59">
      <c r="A59" s="23" t="n">
        <v>46247</v>
      </c>
      <c r="B59" s="15" t="inlineStr">
        <is>
          <t>Quinta</t>
        </is>
      </c>
      <c r="C59" s="15" t="inlineStr">
        <is>
          <t>Semana 4</t>
        </is>
      </c>
      <c r="D59" s="16" t="inlineStr">
        <is>
          <t>Geografia do Maranhão</t>
        </is>
      </c>
      <c r="E59" s="16" t="inlineStr">
        <is>
          <t>Rios maranhenses: bacias limítrofes</t>
        </is>
      </c>
      <c r="F59" s="15" t="inlineStr">
        <is>
          <t>Teoria + Questões</t>
        </is>
      </c>
      <c r="G59" s="15" t="inlineStr">
        <is>
          <t>Alta</t>
        </is>
      </c>
      <c r="H59" s="15" t="inlineStr">
        <is>
          <t>🔥</t>
        </is>
      </c>
      <c r="I59" s="15" t="inlineStr">
        <is>
          <t>Não</t>
        </is>
      </c>
      <c r="J59" s="15" t="n">
        <v>0</v>
      </c>
      <c r="K59" s="15" t="inlineStr">
        <is>
          <t>Não</t>
        </is>
      </c>
      <c r="L59" s="15" t="n">
        <v>0</v>
      </c>
      <c r="M59" s="15" t="n">
        <v>0</v>
      </c>
      <c r="N59" s="17">
        <f>IFERROR(M59/L59,"")</f>
        <v/>
      </c>
    </row>
    <row r="60">
      <c r="A60" s="22" t="n">
        <v>46247</v>
      </c>
      <c r="B60" s="11" t="inlineStr">
        <is>
          <t>Quinta</t>
        </is>
      </c>
      <c r="C60" s="11" t="inlineStr">
        <is>
          <t>Semana 4</t>
        </is>
      </c>
      <c r="D60" s="12" t="inlineStr">
        <is>
          <t>Geografia do Maranhão</t>
        </is>
      </c>
      <c r="E60" s="12" t="inlineStr">
        <is>
          <t>Bacias dos rios genuinamente maranhenses</t>
        </is>
      </c>
      <c r="F60" s="11" t="inlineStr">
        <is>
          <t>Teoria + Questões</t>
        </is>
      </c>
      <c r="G60" s="11" t="inlineStr">
        <is>
          <t>Alta</t>
        </is>
      </c>
      <c r="H60" s="11" t="inlineStr">
        <is>
          <t>🔥</t>
        </is>
      </c>
      <c r="I60" s="11" t="inlineStr">
        <is>
          <t>Não</t>
        </is>
      </c>
      <c r="J60" s="11" t="n">
        <v>0</v>
      </c>
      <c r="K60" s="11" t="inlineStr">
        <is>
          <t>Não</t>
        </is>
      </c>
      <c r="L60" s="11" t="n">
        <v>0</v>
      </c>
      <c r="M60" s="11" t="n">
        <v>0</v>
      </c>
      <c r="N60" s="13">
        <f>IFERROR(M60/L60,"")</f>
        <v/>
      </c>
    </row>
    <row r="61">
      <c r="A61" s="23" t="n">
        <v>46248</v>
      </c>
      <c r="B61" s="15" t="inlineStr">
        <is>
          <t>Sexta</t>
        </is>
      </c>
      <c r="C61" s="15" t="inlineStr">
        <is>
          <t>Semana 4</t>
        </is>
      </c>
      <c r="D61" s="16" t="inlineStr">
        <is>
          <t>Noções de Informática</t>
        </is>
      </c>
      <c r="E61" s="16" t="inlineStr">
        <is>
          <t>Grupos de discussão e redes sociais</t>
        </is>
      </c>
      <c r="F61" s="15" t="inlineStr">
        <is>
          <t>Teoria + Questões</t>
        </is>
      </c>
      <c r="G61" s="15" t="inlineStr">
        <is>
          <t>Baixa</t>
        </is>
      </c>
      <c r="H61" s="15" t="inlineStr">
        <is>
          <t>-</t>
        </is>
      </c>
      <c r="I61" s="15" t="inlineStr">
        <is>
          <t>Não</t>
        </is>
      </c>
      <c r="J61" s="15" t="n">
        <v>0</v>
      </c>
      <c r="K61" s="15" t="inlineStr">
        <is>
          <t>Não</t>
        </is>
      </c>
      <c r="L61" s="15" t="n">
        <v>0</v>
      </c>
      <c r="M61" s="15" t="n">
        <v>0</v>
      </c>
      <c r="N61" s="17">
        <f>IFERROR(M61/L61,"")</f>
        <v/>
      </c>
    </row>
    <row r="62">
      <c r="A62" s="22" t="n">
        <v>46248</v>
      </c>
      <c r="B62" s="11" t="inlineStr">
        <is>
          <t>Sexta</t>
        </is>
      </c>
      <c r="C62" s="11" t="inlineStr">
        <is>
          <t>Semana 4</t>
        </is>
      </c>
      <c r="D62" s="12" t="inlineStr">
        <is>
          <t>Noções de Informática</t>
        </is>
      </c>
      <c r="E62" s="12" t="inlineStr">
        <is>
          <t>Computação em nuvem (cloud computing)</t>
        </is>
      </c>
      <c r="F62" s="11" t="inlineStr">
        <is>
          <t>Teoria + Questões</t>
        </is>
      </c>
      <c r="G62" s="11" t="inlineStr">
        <is>
          <t>Alta</t>
        </is>
      </c>
      <c r="H62" s="11" t="inlineStr">
        <is>
          <t>🔥</t>
        </is>
      </c>
      <c r="I62" s="11" t="inlineStr">
        <is>
          <t>Não</t>
        </is>
      </c>
      <c r="J62" s="11" t="n">
        <v>0</v>
      </c>
      <c r="K62" s="11" t="inlineStr">
        <is>
          <t>Não</t>
        </is>
      </c>
      <c r="L62" s="11" t="n">
        <v>0</v>
      </c>
      <c r="M62" s="11" t="n">
        <v>0</v>
      </c>
      <c r="N62" s="13">
        <f>IFERROR(M62/L62,"")</f>
        <v/>
      </c>
    </row>
    <row r="63">
      <c r="A63" s="23" t="n">
        <v>46248</v>
      </c>
      <c r="B63" s="15" t="inlineStr">
        <is>
          <t>Sexta</t>
        </is>
      </c>
      <c r="C63" s="15" t="inlineStr">
        <is>
          <t>Semana 4</t>
        </is>
      </c>
      <c r="D63" s="16" t="inlineStr">
        <is>
          <t>Raciocínio Lógico</t>
        </is>
      </c>
      <c r="E63" s="16" t="inlineStr">
        <is>
          <t>Tabelas verdade</t>
        </is>
      </c>
      <c r="F63" s="15" t="inlineStr">
        <is>
          <t>Teoria + Questões</t>
        </is>
      </c>
      <c r="G63" s="15" t="inlineStr">
        <is>
          <t>Alta</t>
        </is>
      </c>
      <c r="H63" s="15" t="inlineStr">
        <is>
          <t>-</t>
        </is>
      </c>
      <c r="I63" s="15" t="inlineStr">
        <is>
          <t>Não</t>
        </is>
      </c>
      <c r="J63" s="15" t="n">
        <v>0</v>
      </c>
      <c r="K63" s="15" t="inlineStr">
        <is>
          <t>Não</t>
        </is>
      </c>
      <c r="L63" s="15" t="n">
        <v>0</v>
      </c>
      <c r="M63" s="15" t="n">
        <v>0</v>
      </c>
      <c r="N63" s="17">
        <f>IFERROR(M63/L63,"")</f>
        <v/>
      </c>
    </row>
    <row r="64">
      <c r="A64" s="22" t="n">
        <v>46249</v>
      </c>
      <c r="B64" s="11" t="inlineStr">
        <is>
          <t>Sábado</t>
        </is>
      </c>
      <c r="C64" s="11" t="inlineStr">
        <is>
          <t>Semana 4</t>
        </is>
      </c>
      <c r="D64" s="12" t="inlineStr">
        <is>
          <t>Simulado Geral</t>
        </is>
      </c>
      <c r="E64" s="12" t="inlineStr">
        <is>
          <t>Simulado completo (ver aba Simulado Semanal)</t>
        </is>
      </c>
      <c r="F64" s="11" t="inlineStr">
        <is>
          <t>Simulado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Não</t>
        </is>
      </c>
      <c r="J64" s="11" t="n">
        <v>0</v>
      </c>
      <c r="K64" s="11" t="inlineStr">
        <is>
          <t>Não</t>
        </is>
      </c>
      <c r="L64" s="11" t="n">
        <v>0</v>
      </c>
      <c r="M64" s="11" t="n">
        <v>0</v>
      </c>
      <c r="N64" s="13">
        <f>IFERROR(M64/L64,"")</f>
        <v/>
      </c>
    </row>
    <row r="65">
      <c r="A65" s="23" t="n">
        <v>46250</v>
      </c>
      <c r="B65" s="15" t="inlineStr">
        <is>
          <t>Domingo</t>
        </is>
      </c>
      <c r="C65" s="15" t="inlineStr">
        <is>
          <t>Semana 4</t>
        </is>
      </c>
      <c r="D65" s="16" t="inlineStr">
        <is>
          <t>TAF</t>
        </is>
      </c>
      <c r="E65" s="16" t="inlineStr">
        <is>
          <t>Teste/treino físico (ver aba TAF Semanal)</t>
        </is>
      </c>
      <c r="F65" s="15" t="inlineStr">
        <is>
          <t>TAF</t>
        </is>
      </c>
      <c r="G65" s="15" t="inlineStr">
        <is>
          <t>-</t>
        </is>
      </c>
      <c r="H65" s="15" t="inlineStr">
        <is>
          <t>-</t>
        </is>
      </c>
      <c r="I65" s="15" t="inlineStr">
        <is>
          <t>Não</t>
        </is>
      </c>
      <c r="J65" s="15" t="n">
        <v>0</v>
      </c>
      <c r="K65" s="15" t="inlineStr">
        <is>
          <t>Não</t>
        </is>
      </c>
      <c r="L65" s="15" t="n">
        <v>0</v>
      </c>
      <c r="M65" s="15" t="n">
        <v>0</v>
      </c>
      <c r="N65" s="17">
        <f>IFERROR(M65/L65,"")</f>
        <v/>
      </c>
    </row>
    <row r="66">
      <c r="A66" s="22" t="n">
        <v>46251</v>
      </c>
      <c r="B66" s="11" t="inlineStr">
        <is>
          <t>Segunda</t>
        </is>
      </c>
      <c r="C66" s="11" t="inlineStr">
        <is>
          <t>Semana 5</t>
        </is>
      </c>
      <c r="D66" s="12" t="inlineStr">
        <is>
          <t>Língua Portuguesa</t>
        </is>
      </c>
      <c r="E66" s="12" t="inlineStr">
        <is>
          <t>Revisão geral + questões (foco nos temas de maior dificuldade)</t>
        </is>
      </c>
      <c r="F66" s="11" t="inlineStr">
        <is>
          <t>Revisão</t>
        </is>
      </c>
      <c r="G66" s="11" t="inlineStr">
        <is>
          <t>Alta</t>
        </is>
      </c>
      <c r="H66" s="11" t="inlineStr">
        <is>
          <t>-</t>
        </is>
      </c>
      <c r="I66" s="11" t="inlineStr">
        <is>
          <t>Não</t>
        </is>
      </c>
      <c r="J66" s="11" t="n">
        <v>0</v>
      </c>
      <c r="K66" s="11" t="inlineStr">
        <is>
          <t>Não</t>
        </is>
      </c>
      <c r="L66" s="11" t="n">
        <v>0</v>
      </c>
      <c r="M66" s="11" t="n">
        <v>0</v>
      </c>
      <c r="N66" s="13">
        <f>IFERROR(M66/L66,"")</f>
        <v/>
      </c>
    </row>
    <row r="67">
      <c r="A67" s="23" t="n">
        <v>46251</v>
      </c>
      <c r="B67" s="15" t="inlineStr">
        <is>
          <t>Segunda</t>
        </is>
      </c>
      <c r="C67" s="15" t="inlineStr">
        <is>
          <t>Semana 5</t>
        </is>
      </c>
      <c r="D67" s="16" t="inlineStr">
        <is>
          <t>Língua Portuguesa</t>
        </is>
      </c>
      <c r="E67" s="16" t="inlineStr">
        <is>
          <t>Revisão geral + questões (foco nos temas de maior dificuldade)</t>
        </is>
      </c>
      <c r="F67" s="15" t="inlineStr">
        <is>
          <t>Revisão</t>
        </is>
      </c>
      <c r="G67" s="15" t="inlineStr">
        <is>
          <t>Alta</t>
        </is>
      </c>
      <c r="H67" s="15" t="inlineStr">
        <is>
          <t>-</t>
        </is>
      </c>
      <c r="I67" s="15" t="inlineStr">
        <is>
          <t>Não</t>
        </is>
      </c>
      <c r="J67" s="15" t="n">
        <v>0</v>
      </c>
      <c r="K67" s="15" t="inlineStr">
        <is>
          <t>Não</t>
        </is>
      </c>
      <c r="L67" s="15" t="n">
        <v>0</v>
      </c>
      <c r="M67" s="15" t="n">
        <v>0</v>
      </c>
      <c r="N67" s="17">
        <f>IFERROR(M67/L67,"")</f>
        <v/>
      </c>
    </row>
    <row r="68">
      <c r="A68" s="22" t="n">
        <v>46252</v>
      </c>
      <c r="B68" s="11" t="inlineStr">
        <is>
          <t>Terça</t>
        </is>
      </c>
      <c r="C68" s="11" t="inlineStr">
        <is>
          <t>Semana 5</t>
        </is>
      </c>
      <c r="D68" s="12" t="inlineStr">
        <is>
          <t>Legislação Institucional</t>
        </is>
      </c>
      <c r="E68" s="12" t="inlineStr">
        <is>
          <t>Lei 12.896/26: Nomeação, designação e substituição (Art. 107-111)</t>
        </is>
      </c>
      <c r="F68" s="11" t="inlineStr">
        <is>
          <t>Teoria + Questões</t>
        </is>
      </c>
      <c r="G68" s="11" t="inlineStr">
        <is>
          <t>Média</t>
        </is>
      </c>
      <c r="H68" s="11" t="inlineStr">
        <is>
          <t>-</t>
        </is>
      </c>
      <c r="I68" s="11" t="inlineStr">
        <is>
          <t>Não</t>
        </is>
      </c>
      <c r="J68" s="11" t="n">
        <v>0</v>
      </c>
      <c r="K68" s="11" t="inlineStr">
        <is>
          <t>Não</t>
        </is>
      </c>
      <c r="L68" s="11" t="n">
        <v>0</v>
      </c>
      <c r="M68" s="11" t="n">
        <v>0</v>
      </c>
      <c r="N68" s="13">
        <f>IFERROR(M68/L68,"")</f>
        <v/>
      </c>
    </row>
    <row r="69">
      <c r="A69" s="23" t="n">
        <v>46252</v>
      </c>
      <c r="B69" s="15" t="inlineStr">
        <is>
          <t>Terça</t>
        </is>
      </c>
      <c r="C69" s="15" t="inlineStr">
        <is>
          <t>Semana 5</t>
        </is>
      </c>
      <c r="D69" s="16" t="inlineStr">
        <is>
          <t>Legislação Institucional</t>
        </is>
      </c>
      <c r="E69" s="16" t="inlineStr">
        <is>
          <t>Revisão geral + questões (foco nos temas de maior dificuldade)</t>
        </is>
      </c>
      <c r="F69" s="15" t="inlineStr">
        <is>
          <t>Revisão</t>
        </is>
      </c>
      <c r="G69" s="15" t="inlineStr">
        <is>
          <t>Alta</t>
        </is>
      </c>
      <c r="H69" s="15" t="inlineStr">
        <is>
          <t>-</t>
        </is>
      </c>
      <c r="I69" s="15" t="inlineStr">
        <is>
          <t>Não</t>
        </is>
      </c>
      <c r="J69" s="15" t="n">
        <v>0</v>
      </c>
      <c r="K69" s="15" t="inlineStr">
        <is>
          <t>Não</t>
        </is>
      </c>
      <c r="L69" s="15" t="n">
        <v>0</v>
      </c>
      <c r="M69" s="15" t="n">
        <v>0</v>
      </c>
      <c r="N69" s="17">
        <f>IFERROR(M69/L69,"")</f>
        <v/>
      </c>
    </row>
    <row r="70">
      <c r="A70" s="22" t="n">
        <v>46252</v>
      </c>
      <c r="B70" s="11" t="inlineStr">
        <is>
          <t>Terça</t>
        </is>
      </c>
      <c r="C70" s="11" t="inlineStr">
        <is>
          <t>Semana 5</t>
        </is>
      </c>
      <c r="D70" s="12" t="inlineStr">
        <is>
          <t>Legislação Institucional</t>
        </is>
      </c>
      <c r="E70" s="12" t="inlineStr">
        <is>
          <t>Revisão geral + questões (foco nos temas de maior dificuldade)</t>
        </is>
      </c>
      <c r="F70" s="11" t="inlineStr">
        <is>
          <t>Revisão</t>
        </is>
      </c>
      <c r="G70" s="11" t="inlineStr">
        <is>
          <t>Alta</t>
        </is>
      </c>
      <c r="H70" s="11" t="inlineStr">
        <is>
          <t>-</t>
        </is>
      </c>
      <c r="I70" s="11" t="inlineStr">
        <is>
          <t>Não</t>
        </is>
      </c>
      <c r="J70" s="11" t="n">
        <v>0</v>
      </c>
      <c r="K70" s="11" t="inlineStr">
        <is>
          <t>Não</t>
        </is>
      </c>
      <c r="L70" s="11" t="n">
        <v>0</v>
      </c>
      <c r="M70" s="11" t="n">
        <v>0</v>
      </c>
      <c r="N70" s="13">
        <f>IFERROR(M70/L70,"")</f>
        <v/>
      </c>
    </row>
    <row r="71">
      <c r="A71" s="23" t="n">
        <v>46253</v>
      </c>
      <c r="B71" s="15" t="inlineStr">
        <is>
          <t>Quarta</t>
        </is>
      </c>
      <c r="C71" s="15" t="inlineStr">
        <is>
          <t>Semana 5</t>
        </is>
      </c>
      <c r="D71" s="16" t="inlineStr">
        <is>
          <t>História do Brasil</t>
        </is>
      </c>
      <c r="E71" s="16" t="inlineStr">
        <is>
          <t>Período democrático (1945-1964)</t>
        </is>
      </c>
      <c r="F71" s="15" t="inlineStr">
        <is>
          <t>Teoria + Questões</t>
        </is>
      </c>
      <c r="G71" s="15" t="inlineStr">
        <is>
          <t>Média</t>
        </is>
      </c>
      <c r="H71" s="15" t="inlineStr">
        <is>
          <t>-</t>
        </is>
      </c>
      <c r="I71" s="15" t="inlineStr">
        <is>
          <t>Não</t>
        </is>
      </c>
      <c r="J71" s="15" t="n">
        <v>0</v>
      </c>
      <c r="K71" s="15" t="inlineStr">
        <is>
          <t>Não</t>
        </is>
      </c>
      <c r="L71" s="15" t="n">
        <v>0</v>
      </c>
      <c r="M71" s="15" t="n">
        <v>0</v>
      </c>
      <c r="N71" s="17">
        <f>IFERROR(M71/L71,"")</f>
        <v/>
      </c>
    </row>
    <row r="72">
      <c r="A72" s="22" t="n">
        <v>46253</v>
      </c>
      <c r="B72" s="11" t="inlineStr">
        <is>
          <t>Quarta</t>
        </is>
      </c>
      <c r="C72" s="11" t="inlineStr">
        <is>
          <t>Semana 5</t>
        </is>
      </c>
      <c r="D72" s="12" t="inlineStr">
        <is>
          <t>História do Brasil</t>
        </is>
      </c>
      <c r="E72" s="12" t="inlineStr">
        <is>
          <t>Redemocratização e Constituição de 1946</t>
        </is>
      </c>
      <c r="F72" s="11" t="inlineStr">
        <is>
          <t>Teoria + Questões</t>
        </is>
      </c>
      <c r="G72" s="11" t="inlineStr">
        <is>
          <t>Média</t>
        </is>
      </c>
      <c r="H72" s="11" t="inlineStr">
        <is>
          <t>-</t>
        </is>
      </c>
      <c r="I72" s="11" t="inlineStr">
        <is>
          <t>Não</t>
        </is>
      </c>
      <c r="J72" s="11" t="n">
        <v>0</v>
      </c>
      <c r="K72" s="11" t="inlineStr">
        <is>
          <t>Não</t>
        </is>
      </c>
      <c r="L72" s="11" t="n">
        <v>0</v>
      </c>
      <c r="M72" s="11" t="n">
        <v>0</v>
      </c>
      <c r="N72" s="13">
        <f>IFERROR(M72/L72,"")</f>
        <v/>
      </c>
    </row>
    <row r="73">
      <c r="A73" s="23" t="n">
        <v>46253</v>
      </c>
      <c r="B73" s="15" t="inlineStr">
        <is>
          <t>Quarta</t>
        </is>
      </c>
      <c r="C73" s="15" t="inlineStr">
        <is>
          <t>Semana 5</t>
        </is>
      </c>
      <c r="D73" s="16" t="inlineStr">
        <is>
          <t>História do Maranhão</t>
        </is>
      </c>
      <c r="E73" s="16" t="inlineStr">
        <is>
          <t>Companhia de Comércio do Maranhão e Grão-Pará</t>
        </is>
      </c>
      <c r="F73" s="15" t="inlineStr">
        <is>
          <t>Teoria + Questões</t>
        </is>
      </c>
      <c r="G73" s="15" t="inlineStr">
        <is>
          <t>Média</t>
        </is>
      </c>
      <c r="H73" s="15" t="inlineStr">
        <is>
          <t>-</t>
        </is>
      </c>
      <c r="I73" s="15" t="inlineStr">
        <is>
          <t>Não</t>
        </is>
      </c>
      <c r="J73" s="15" t="n">
        <v>0</v>
      </c>
      <c r="K73" s="15" t="inlineStr">
        <is>
          <t>Não</t>
        </is>
      </c>
      <c r="L73" s="15" t="n">
        <v>0</v>
      </c>
      <c r="M73" s="15" t="n">
        <v>0</v>
      </c>
      <c r="N73" s="17">
        <f>IFERROR(M73/L73,"")</f>
        <v/>
      </c>
    </row>
    <row r="74">
      <c r="A74" s="22" t="n">
        <v>46254</v>
      </c>
      <c r="B74" s="11" t="inlineStr">
        <is>
          <t>Quinta</t>
        </is>
      </c>
      <c r="C74" s="11" t="inlineStr">
        <is>
          <t>Semana 5</t>
        </is>
      </c>
      <c r="D74" s="12" t="inlineStr">
        <is>
          <t>Geografia do Brasil</t>
        </is>
      </c>
      <c r="E74" s="12" t="inlineStr">
        <is>
          <t>Movimentos migratórios internos</t>
        </is>
      </c>
      <c r="F74" s="11" t="inlineStr">
        <is>
          <t>Teoria + Questões</t>
        </is>
      </c>
      <c r="G74" s="11" t="inlineStr">
        <is>
          <t>Alta</t>
        </is>
      </c>
      <c r="H74" s="11" t="inlineStr">
        <is>
          <t>🔥</t>
        </is>
      </c>
      <c r="I74" s="11" t="inlineStr">
        <is>
          <t>Não</t>
        </is>
      </c>
      <c r="J74" s="11" t="n">
        <v>0</v>
      </c>
      <c r="K74" s="11" t="inlineStr">
        <is>
          <t>Não</t>
        </is>
      </c>
      <c r="L74" s="11" t="n">
        <v>0</v>
      </c>
      <c r="M74" s="11" t="n">
        <v>0</v>
      </c>
      <c r="N74" s="13">
        <f>IFERROR(M74/L74,"")</f>
        <v/>
      </c>
    </row>
    <row r="75">
      <c r="A75" s="23" t="n">
        <v>46254</v>
      </c>
      <c r="B75" s="15" t="inlineStr">
        <is>
          <t>Quinta</t>
        </is>
      </c>
      <c r="C75" s="15" t="inlineStr">
        <is>
          <t>Semana 5</t>
        </is>
      </c>
      <c r="D75" s="16" t="inlineStr">
        <is>
          <t>Geografia do Brasil</t>
        </is>
      </c>
      <c r="E75" s="16" t="inlineStr">
        <is>
          <t>População brasileira: distribuição e estrutura etária</t>
        </is>
      </c>
      <c r="F75" s="15" t="inlineStr">
        <is>
          <t>Teoria + Questões</t>
        </is>
      </c>
      <c r="G75" s="15" t="inlineStr">
        <is>
          <t>Alta</t>
        </is>
      </c>
      <c r="H75" s="15" t="inlineStr">
        <is>
          <t>🔥</t>
        </is>
      </c>
      <c r="I75" s="15" t="inlineStr">
        <is>
          <t>Não</t>
        </is>
      </c>
      <c r="J75" s="15" t="n">
        <v>0</v>
      </c>
      <c r="K75" s="15" t="inlineStr">
        <is>
          <t>Não</t>
        </is>
      </c>
      <c r="L75" s="15" t="n">
        <v>0</v>
      </c>
      <c r="M75" s="15" t="n">
        <v>0</v>
      </c>
      <c r="N75" s="17">
        <f>IFERROR(M75/L75,"")</f>
        <v/>
      </c>
    </row>
    <row r="76">
      <c r="A76" s="22" t="n">
        <v>46254</v>
      </c>
      <c r="B76" s="11" t="inlineStr">
        <is>
          <t>Quinta</t>
        </is>
      </c>
      <c r="C76" s="11" t="inlineStr">
        <is>
          <t>Semana 5</t>
        </is>
      </c>
      <c r="D76" s="12" t="inlineStr">
        <is>
          <t>Geografia do Maranhão</t>
        </is>
      </c>
      <c r="E76" s="12" t="inlineStr">
        <is>
          <t>Formações vegetais: floresta, cerrado e cocais</t>
        </is>
      </c>
      <c r="F76" s="11" t="inlineStr">
        <is>
          <t>Teoria + Questões</t>
        </is>
      </c>
      <c r="G76" s="11" t="inlineStr">
        <is>
          <t>Alta</t>
        </is>
      </c>
      <c r="H76" s="11" t="inlineStr">
        <is>
          <t>🔥</t>
        </is>
      </c>
      <c r="I76" s="11" t="inlineStr">
        <is>
          <t>Não</t>
        </is>
      </c>
      <c r="J76" s="11" t="n">
        <v>0</v>
      </c>
      <c r="K76" s="11" t="inlineStr">
        <is>
          <t>Não</t>
        </is>
      </c>
      <c r="L76" s="11" t="n">
        <v>0</v>
      </c>
      <c r="M76" s="11" t="n">
        <v>0</v>
      </c>
      <c r="N76" s="13">
        <f>IFERROR(M76/L76,"")</f>
        <v/>
      </c>
    </row>
    <row r="77">
      <c r="A77" s="23" t="n">
        <v>46255</v>
      </c>
      <c r="B77" s="15" t="inlineStr">
        <is>
          <t>Sexta</t>
        </is>
      </c>
      <c r="C77" s="15" t="inlineStr">
        <is>
          <t>Semana 5</t>
        </is>
      </c>
      <c r="D77" s="16" t="inlineStr">
        <is>
          <t>Noções de Informática</t>
        </is>
      </c>
      <c r="E77" s="16" t="inlineStr">
        <is>
          <t>Organização de arquivos, pastas e programas</t>
        </is>
      </c>
      <c r="F77" s="15" t="inlineStr">
        <is>
          <t>Teoria + Questões</t>
        </is>
      </c>
      <c r="G77" s="15" t="inlineStr">
        <is>
          <t>Média</t>
        </is>
      </c>
      <c r="H77" s="15" t="inlineStr">
        <is>
          <t>-</t>
        </is>
      </c>
      <c r="I77" s="15" t="inlineStr">
        <is>
          <t>Não</t>
        </is>
      </c>
      <c r="J77" s="15" t="n">
        <v>0</v>
      </c>
      <c r="K77" s="15" t="inlineStr">
        <is>
          <t>Não</t>
        </is>
      </c>
      <c r="L77" s="15" t="n">
        <v>0</v>
      </c>
      <c r="M77" s="15" t="n">
        <v>0</v>
      </c>
      <c r="N77" s="17">
        <f>IFERROR(M77/L77,"")</f>
        <v/>
      </c>
    </row>
    <row r="78">
      <c r="A78" s="22" t="n">
        <v>46255</v>
      </c>
      <c r="B78" s="11" t="inlineStr">
        <is>
          <t>Sexta</t>
        </is>
      </c>
      <c r="C78" s="11" t="inlineStr">
        <is>
          <t>Semana 5</t>
        </is>
      </c>
      <c r="D78" s="12" t="inlineStr">
        <is>
          <t>Noções de Informática</t>
        </is>
      </c>
      <c r="E78" s="12" t="inlineStr">
        <is>
          <t>Segurança da informação: procedimentos</t>
        </is>
      </c>
      <c r="F78" s="11" t="inlineStr">
        <is>
          <t>Teoria + Questões</t>
        </is>
      </c>
      <c r="G78" s="11" t="inlineStr">
        <is>
          <t>Alta</t>
        </is>
      </c>
      <c r="H78" s="11" t="inlineStr">
        <is>
          <t>🔥</t>
        </is>
      </c>
      <c r="I78" s="11" t="inlineStr">
        <is>
          <t>Não</t>
        </is>
      </c>
      <c r="J78" s="11" t="n">
        <v>0</v>
      </c>
      <c r="K78" s="11" t="inlineStr">
        <is>
          <t>Não</t>
        </is>
      </c>
      <c r="L78" s="11" t="n">
        <v>0</v>
      </c>
      <c r="M78" s="11" t="n">
        <v>0</v>
      </c>
      <c r="N78" s="13">
        <f>IFERROR(M78/L78,"")</f>
        <v/>
      </c>
    </row>
    <row r="79">
      <c r="A79" s="23" t="n">
        <v>46255</v>
      </c>
      <c r="B79" s="15" t="inlineStr">
        <is>
          <t>Sexta</t>
        </is>
      </c>
      <c r="C79" s="15" t="inlineStr">
        <is>
          <t>Semana 5</t>
        </is>
      </c>
      <c r="D79" s="16" t="inlineStr">
        <is>
          <t>Raciocínio Lógico</t>
        </is>
      </c>
      <c r="E79" s="16" t="inlineStr">
        <is>
          <t>Equivalências lógicas</t>
        </is>
      </c>
      <c r="F79" s="15" t="inlineStr">
        <is>
          <t>Teoria + Questões</t>
        </is>
      </c>
      <c r="G79" s="15" t="inlineStr">
        <is>
          <t>Alta</t>
        </is>
      </c>
      <c r="H79" s="15" t="inlineStr">
        <is>
          <t>-</t>
        </is>
      </c>
      <c r="I79" s="15" t="inlineStr">
        <is>
          <t>Não</t>
        </is>
      </c>
      <c r="J79" s="15" t="n">
        <v>0</v>
      </c>
      <c r="K79" s="15" t="inlineStr">
        <is>
          <t>Não</t>
        </is>
      </c>
      <c r="L79" s="15" t="n">
        <v>0</v>
      </c>
      <c r="M79" s="15" t="n">
        <v>0</v>
      </c>
      <c r="N79" s="17">
        <f>IFERROR(M79/L79,"")</f>
        <v/>
      </c>
    </row>
    <row r="80">
      <c r="A80" s="22" t="n">
        <v>46256</v>
      </c>
      <c r="B80" s="11" t="inlineStr">
        <is>
          <t>Sábado</t>
        </is>
      </c>
      <c r="C80" s="11" t="inlineStr">
        <is>
          <t>Semana 5</t>
        </is>
      </c>
      <c r="D80" s="12" t="inlineStr">
        <is>
          <t>Simulado Geral</t>
        </is>
      </c>
      <c r="E80" s="12" t="inlineStr">
        <is>
          <t>Simulado completo (ver aba Simulado Semanal)</t>
        </is>
      </c>
      <c r="F80" s="11" t="inlineStr">
        <is>
          <t>Simulado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Não</t>
        </is>
      </c>
      <c r="J80" s="11" t="n">
        <v>0</v>
      </c>
      <c r="K80" s="11" t="inlineStr">
        <is>
          <t>Não</t>
        </is>
      </c>
      <c r="L80" s="11" t="n">
        <v>0</v>
      </c>
      <c r="M80" s="11" t="n">
        <v>0</v>
      </c>
      <c r="N80" s="13">
        <f>IFERROR(M80/L80,"")</f>
        <v/>
      </c>
    </row>
    <row r="81">
      <c r="A81" s="23" t="n">
        <v>46257</v>
      </c>
      <c r="B81" s="15" t="inlineStr">
        <is>
          <t>Domingo</t>
        </is>
      </c>
      <c r="C81" s="15" t="inlineStr">
        <is>
          <t>Semana 5</t>
        </is>
      </c>
      <c r="D81" s="16" t="inlineStr">
        <is>
          <t>TAF</t>
        </is>
      </c>
      <c r="E81" s="16" t="inlineStr">
        <is>
          <t>Teste/treino físico (ver aba TAF Semanal)</t>
        </is>
      </c>
      <c r="F81" s="15" t="inlineStr">
        <is>
          <t>TAF</t>
        </is>
      </c>
      <c r="G81" s="15" t="inlineStr">
        <is>
          <t>-</t>
        </is>
      </c>
      <c r="H81" s="15" t="inlineStr">
        <is>
          <t>-</t>
        </is>
      </c>
      <c r="I81" s="15" t="inlineStr">
        <is>
          <t>Não</t>
        </is>
      </c>
      <c r="J81" s="15" t="n">
        <v>0</v>
      </c>
      <c r="K81" s="15" t="inlineStr">
        <is>
          <t>Não</t>
        </is>
      </c>
      <c r="L81" s="15" t="n">
        <v>0</v>
      </c>
      <c r="M81" s="15" t="n">
        <v>0</v>
      </c>
      <c r="N81" s="17">
        <f>IFERROR(M81/L81,"")</f>
        <v/>
      </c>
    </row>
    <row r="82">
      <c r="A82" s="22" t="n">
        <v>46258</v>
      </c>
      <c r="B82" s="11" t="inlineStr">
        <is>
          <t>Segunda</t>
        </is>
      </c>
      <c r="C82" s="11" t="inlineStr">
        <is>
          <t>Semana 6</t>
        </is>
      </c>
      <c r="D82" s="12" t="inlineStr">
        <is>
          <t>Língua Portuguesa</t>
        </is>
      </c>
      <c r="E82" s="12" t="inlineStr">
        <is>
          <t>Revisão geral + questões (foco nos temas de maior dificuldade)</t>
        </is>
      </c>
      <c r="F82" s="11" t="inlineStr">
        <is>
          <t>Revisão</t>
        </is>
      </c>
      <c r="G82" s="11" t="inlineStr">
        <is>
          <t>Alta</t>
        </is>
      </c>
      <c r="H82" s="11" t="inlineStr">
        <is>
          <t>-</t>
        </is>
      </c>
      <c r="I82" s="11" t="inlineStr">
        <is>
          <t>Não</t>
        </is>
      </c>
      <c r="J82" s="11" t="n">
        <v>0</v>
      </c>
      <c r="K82" s="11" t="inlineStr">
        <is>
          <t>Não</t>
        </is>
      </c>
      <c r="L82" s="11" t="n">
        <v>0</v>
      </c>
      <c r="M82" s="11" t="n">
        <v>0</v>
      </c>
      <c r="N82" s="13">
        <f>IFERROR(M82/L82,"")</f>
        <v/>
      </c>
    </row>
    <row r="83">
      <c r="A83" s="23" t="n">
        <v>46258</v>
      </c>
      <c r="B83" s="15" t="inlineStr">
        <is>
          <t>Segunda</t>
        </is>
      </c>
      <c r="C83" s="15" t="inlineStr">
        <is>
          <t>Semana 6</t>
        </is>
      </c>
      <c r="D83" s="16" t="inlineStr">
        <is>
          <t>Língua Portuguesa</t>
        </is>
      </c>
      <c r="E83" s="16" t="inlineStr">
        <is>
          <t>Revisão geral + questões (foco nos temas de maior dificuldade)</t>
        </is>
      </c>
      <c r="F83" s="15" t="inlineStr">
        <is>
          <t>Revisão</t>
        </is>
      </c>
      <c r="G83" s="15" t="inlineStr">
        <is>
          <t>Alta</t>
        </is>
      </c>
      <c r="H83" s="15" t="inlineStr">
        <is>
          <t>-</t>
        </is>
      </c>
      <c r="I83" s="15" t="inlineStr">
        <is>
          <t>Não</t>
        </is>
      </c>
      <c r="J83" s="15" t="n">
        <v>0</v>
      </c>
      <c r="K83" s="15" t="inlineStr">
        <is>
          <t>Não</t>
        </is>
      </c>
      <c r="L83" s="15" t="n">
        <v>0</v>
      </c>
      <c r="M83" s="15" t="n">
        <v>0</v>
      </c>
      <c r="N83" s="17">
        <f>IFERROR(M83/L83,"")</f>
        <v/>
      </c>
    </row>
    <row r="84">
      <c r="A84" s="22" t="n">
        <v>46259</v>
      </c>
      <c r="B84" s="11" t="inlineStr">
        <is>
          <t>Terça</t>
        </is>
      </c>
      <c r="C84" s="11" t="inlineStr">
        <is>
          <t>Semana 6</t>
        </is>
      </c>
      <c r="D84" s="12" t="inlineStr">
        <is>
          <t>Legislação Institucional</t>
        </is>
      </c>
      <c r="E84" s="12" t="inlineStr">
        <is>
          <t>Revisão geral + questões (foco nos temas de maior dificuldade)</t>
        </is>
      </c>
      <c r="F84" s="11" t="inlineStr">
        <is>
          <t>Revisão</t>
        </is>
      </c>
      <c r="G84" s="11" t="inlineStr">
        <is>
          <t>Alta</t>
        </is>
      </c>
      <c r="H84" s="11" t="inlineStr">
        <is>
          <t>-</t>
        </is>
      </c>
      <c r="I84" s="11" t="inlineStr">
        <is>
          <t>Não</t>
        </is>
      </c>
      <c r="J84" s="11" t="n">
        <v>0</v>
      </c>
      <c r="K84" s="11" t="inlineStr">
        <is>
          <t>Não</t>
        </is>
      </c>
      <c r="L84" s="11" t="n">
        <v>0</v>
      </c>
      <c r="M84" s="11" t="n">
        <v>0</v>
      </c>
      <c r="N84" s="13">
        <f>IFERROR(M84/L84,"")</f>
        <v/>
      </c>
    </row>
    <row r="85">
      <c r="A85" s="23" t="n">
        <v>46259</v>
      </c>
      <c r="B85" s="15" t="inlineStr">
        <is>
          <t>Terça</t>
        </is>
      </c>
      <c r="C85" s="15" t="inlineStr">
        <is>
          <t>Semana 6</t>
        </is>
      </c>
      <c r="D85" s="16" t="inlineStr">
        <is>
          <t>Legislação Institucional</t>
        </is>
      </c>
      <c r="E85" s="16" t="inlineStr">
        <is>
          <t>Revisão geral + questões (foco nos temas de maior dificuldade)</t>
        </is>
      </c>
      <c r="F85" s="15" t="inlineStr">
        <is>
          <t>Revisão</t>
        </is>
      </c>
      <c r="G85" s="15" t="inlineStr">
        <is>
          <t>Alta</t>
        </is>
      </c>
      <c r="H85" s="15" t="inlineStr">
        <is>
          <t>-</t>
        </is>
      </c>
      <c r="I85" s="15" t="inlineStr">
        <is>
          <t>Não</t>
        </is>
      </c>
      <c r="J85" s="15" t="n">
        <v>0</v>
      </c>
      <c r="K85" s="15" t="inlineStr">
        <is>
          <t>Não</t>
        </is>
      </c>
      <c r="L85" s="15" t="n">
        <v>0</v>
      </c>
      <c r="M85" s="15" t="n">
        <v>0</v>
      </c>
      <c r="N85" s="17">
        <f>IFERROR(M85/L85,"")</f>
        <v/>
      </c>
    </row>
    <row r="86">
      <c r="A86" s="22" t="n">
        <v>46259</v>
      </c>
      <c r="B86" s="11" t="inlineStr">
        <is>
          <t>Terça</t>
        </is>
      </c>
      <c r="C86" s="11" t="inlineStr">
        <is>
          <t>Semana 6</t>
        </is>
      </c>
      <c r="D86" s="12" t="inlineStr">
        <is>
          <t>Legislação Institucional</t>
        </is>
      </c>
      <c r="E86" s="12" t="inlineStr">
        <is>
          <t>Revisão geral + questões (foco nos temas de maior dificuldade)</t>
        </is>
      </c>
      <c r="F86" s="11" t="inlineStr">
        <is>
          <t>Revisão</t>
        </is>
      </c>
      <c r="G86" s="11" t="inlineStr">
        <is>
          <t>Alta</t>
        </is>
      </c>
      <c r="H86" s="11" t="inlineStr">
        <is>
          <t>-</t>
        </is>
      </c>
      <c r="I86" s="11" t="inlineStr">
        <is>
          <t>Não</t>
        </is>
      </c>
      <c r="J86" s="11" t="n">
        <v>0</v>
      </c>
      <c r="K86" s="11" t="inlineStr">
        <is>
          <t>Não</t>
        </is>
      </c>
      <c r="L86" s="11" t="n">
        <v>0</v>
      </c>
      <c r="M86" s="11" t="n">
        <v>0</v>
      </c>
      <c r="N86" s="13">
        <f>IFERROR(M86/L86,"")</f>
        <v/>
      </c>
    </row>
    <row r="87">
      <c r="A87" s="23" t="n">
        <v>46260</v>
      </c>
      <c r="B87" s="15" t="inlineStr">
        <is>
          <t>Quarta</t>
        </is>
      </c>
      <c r="C87" s="15" t="inlineStr">
        <is>
          <t>Semana 6</t>
        </is>
      </c>
      <c r="D87" s="16" t="inlineStr">
        <is>
          <t>História do Brasil</t>
        </is>
      </c>
      <c r="E87" s="16" t="inlineStr">
        <is>
          <t>Industrialização do governo JK</t>
        </is>
      </c>
      <c r="F87" s="15" t="inlineStr">
        <is>
          <t>Teoria + Questões</t>
        </is>
      </c>
      <c r="G87" s="15" t="inlineStr">
        <is>
          <t>Média</t>
        </is>
      </c>
      <c r="H87" s="15" t="inlineStr">
        <is>
          <t>-</t>
        </is>
      </c>
      <c r="I87" s="15" t="inlineStr">
        <is>
          <t>Não</t>
        </is>
      </c>
      <c r="J87" s="15" t="n">
        <v>0</v>
      </c>
      <c r="K87" s="15" t="inlineStr">
        <is>
          <t>Não</t>
        </is>
      </c>
      <c r="L87" s="15" t="n">
        <v>0</v>
      </c>
      <c r="M87" s="15" t="n">
        <v>0</v>
      </c>
      <c r="N87" s="17">
        <f>IFERROR(M87/L87,"")</f>
        <v/>
      </c>
    </row>
    <row r="88">
      <c r="A88" s="22" t="n">
        <v>46260</v>
      </c>
      <c r="B88" s="11" t="inlineStr">
        <is>
          <t>Quarta</t>
        </is>
      </c>
      <c r="C88" s="11" t="inlineStr">
        <is>
          <t>Semana 6</t>
        </is>
      </c>
      <c r="D88" s="12" t="inlineStr">
        <is>
          <t>História do Maranhão</t>
        </is>
      </c>
      <c r="E88" s="12" t="inlineStr">
        <is>
          <t>Adesão do Maranhão à Independência do Brasil</t>
        </is>
      </c>
      <c r="F88" s="11" t="inlineStr">
        <is>
          <t>Teoria + Questões</t>
        </is>
      </c>
      <c r="G88" s="11" t="inlineStr">
        <is>
          <t>Alta</t>
        </is>
      </c>
      <c r="H88" s="11" t="inlineStr">
        <is>
          <t>🔥</t>
        </is>
      </c>
      <c r="I88" s="11" t="inlineStr">
        <is>
          <t>Não</t>
        </is>
      </c>
      <c r="J88" s="11" t="n">
        <v>0</v>
      </c>
      <c r="K88" s="11" t="inlineStr">
        <is>
          <t>Não</t>
        </is>
      </c>
      <c r="L88" s="11" t="n">
        <v>0</v>
      </c>
      <c r="M88" s="11" t="n">
        <v>0</v>
      </c>
      <c r="N88" s="13">
        <f>IFERROR(M88/L88,"")</f>
        <v/>
      </c>
    </row>
    <row r="89">
      <c r="A89" s="23" t="n">
        <v>46260</v>
      </c>
      <c r="B89" s="15" t="inlineStr">
        <is>
          <t>Quarta</t>
        </is>
      </c>
      <c r="C89" s="15" t="inlineStr">
        <is>
          <t>Semana 6</t>
        </is>
      </c>
      <c r="D89" s="16" t="inlineStr">
        <is>
          <t>História do Maranhão</t>
        </is>
      </c>
      <c r="E89" s="16" t="inlineStr">
        <is>
          <t>Batalha do Jenipapo</t>
        </is>
      </c>
      <c r="F89" s="15" t="inlineStr">
        <is>
          <t>Teoria + Questões</t>
        </is>
      </c>
      <c r="G89" s="15" t="inlineStr">
        <is>
          <t>Alta</t>
        </is>
      </c>
      <c r="H89" s="15" t="inlineStr">
        <is>
          <t>🔥</t>
        </is>
      </c>
      <c r="I89" s="15" t="inlineStr">
        <is>
          <t>Não</t>
        </is>
      </c>
      <c r="J89" s="15" t="n">
        <v>0</v>
      </c>
      <c r="K89" s="15" t="inlineStr">
        <is>
          <t>Não</t>
        </is>
      </c>
      <c r="L89" s="15" t="n">
        <v>0</v>
      </c>
      <c r="M89" s="15" t="n">
        <v>0</v>
      </c>
      <c r="N89" s="17">
        <f>IFERROR(M89/L89,"")</f>
        <v/>
      </c>
    </row>
    <row r="90">
      <c r="A90" s="22" t="n">
        <v>46261</v>
      </c>
      <c r="B90" s="11" t="inlineStr">
        <is>
          <t>Quinta</t>
        </is>
      </c>
      <c r="C90" s="11" t="inlineStr">
        <is>
          <t>Semana 6</t>
        </is>
      </c>
      <c r="D90" s="12" t="inlineStr">
        <is>
          <t>Geografia do Brasil</t>
        </is>
      </c>
      <c r="E90" s="12" t="inlineStr">
        <is>
          <t>Integração indústria/transporte/agrícola</t>
        </is>
      </c>
      <c r="F90" s="11" t="inlineStr">
        <is>
          <t>Teoria + Questões</t>
        </is>
      </c>
      <c r="G90" s="11" t="inlineStr">
        <is>
          <t>Média</t>
        </is>
      </c>
      <c r="H90" s="11" t="inlineStr">
        <is>
          <t>-</t>
        </is>
      </c>
      <c r="I90" s="11" t="inlineStr">
        <is>
          <t>Não</t>
        </is>
      </c>
      <c r="J90" s="11" t="n">
        <v>0</v>
      </c>
      <c r="K90" s="11" t="inlineStr">
        <is>
          <t>Não</t>
        </is>
      </c>
      <c r="L90" s="11" t="n">
        <v>0</v>
      </c>
      <c r="M90" s="11" t="n">
        <v>0</v>
      </c>
      <c r="N90" s="13">
        <f>IFERROR(M90/L90,"")</f>
        <v/>
      </c>
    </row>
    <row r="91">
      <c r="A91" s="23" t="n">
        <v>46261</v>
      </c>
      <c r="B91" s="15" t="inlineStr">
        <is>
          <t>Quinta</t>
        </is>
      </c>
      <c r="C91" s="15" t="inlineStr">
        <is>
          <t>Semana 6</t>
        </is>
      </c>
      <c r="D91" s="16" t="inlineStr">
        <is>
          <t>Geografia do Maranhão</t>
        </is>
      </c>
      <c r="E91" s="16" t="inlineStr">
        <is>
          <t>População absoluta, densidade e povoamento</t>
        </is>
      </c>
      <c r="F91" s="15" t="inlineStr">
        <is>
          <t>Teoria + Questões</t>
        </is>
      </c>
      <c r="G91" s="15" t="inlineStr">
        <is>
          <t>Alta</t>
        </is>
      </c>
      <c r="H91" s="15" t="inlineStr">
        <is>
          <t>🔥</t>
        </is>
      </c>
      <c r="I91" s="15" t="inlineStr">
        <is>
          <t>Não</t>
        </is>
      </c>
      <c r="J91" s="15" t="n">
        <v>0</v>
      </c>
      <c r="K91" s="15" t="inlineStr">
        <is>
          <t>Não</t>
        </is>
      </c>
      <c r="L91" s="15" t="n">
        <v>0</v>
      </c>
      <c r="M91" s="15" t="n">
        <v>0</v>
      </c>
      <c r="N91" s="17">
        <f>IFERROR(M91/L91,"")</f>
        <v/>
      </c>
    </row>
    <row r="92">
      <c r="A92" s="22" t="n">
        <v>46261</v>
      </c>
      <c r="B92" s="11" t="inlineStr">
        <is>
          <t>Quinta</t>
        </is>
      </c>
      <c r="C92" s="11" t="inlineStr">
        <is>
          <t>Semana 6</t>
        </is>
      </c>
      <c r="D92" s="12" t="inlineStr">
        <is>
          <t>Geografia do Maranhão</t>
        </is>
      </c>
      <c r="E92" s="12" t="inlineStr">
        <is>
          <t>Movimentos populacionais</t>
        </is>
      </c>
      <c r="F92" s="11" t="inlineStr">
        <is>
          <t>Teoria + Questões</t>
        </is>
      </c>
      <c r="G92" s="11" t="inlineStr">
        <is>
          <t>Alta</t>
        </is>
      </c>
      <c r="H92" s="11" t="inlineStr">
        <is>
          <t>🔥</t>
        </is>
      </c>
      <c r="I92" s="11" t="inlineStr">
        <is>
          <t>Não</t>
        </is>
      </c>
      <c r="J92" s="11" t="n">
        <v>0</v>
      </c>
      <c r="K92" s="11" t="inlineStr">
        <is>
          <t>Não</t>
        </is>
      </c>
      <c r="L92" s="11" t="n">
        <v>0</v>
      </c>
      <c r="M92" s="11" t="n">
        <v>0</v>
      </c>
      <c r="N92" s="13">
        <f>IFERROR(M92/L92,"")</f>
        <v/>
      </c>
    </row>
    <row r="93">
      <c r="A93" s="23" t="n">
        <v>46262</v>
      </c>
      <c r="B93" s="15" t="inlineStr">
        <is>
          <t>Sexta</t>
        </is>
      </c>
      <c r="C93" s="15" t="inlineStr">
        <is>
          <t>Semana 6</t>
        </is>
      </c>
      <c r="D93" s="16" t="inlineStr">
        <is>
          <t>Noções de Informática</t>
        </is>
      </c>
      <c r="E93" s="16" t="inlineStr">
        <is>
          <t>Vírus, worms e pragas virtuais</t>
        </is>
      </c>
      <c r="F93" s="15" t="inlineStr">
        <is>
          <t>Teoria + Questões</t>
        </is>
      </c>
      <c r="G93" s="15" t="inlineStr">
        <is>
          <t>Alta</t>
        </is>
      </c>
      <c r="H93" s="15" t="inlineStr">
        <is>
          <t>🔥</t>
        </is>
      </c>
      <c r="I93" s="15" t="inlineStr">
        <is>
          <t>Não</t>
        </is>
      </c>
      <c r="J93" s="15" t="n">
        <v>0</v>
      </c>
      <c r="K93" s="15" t="inlineStr">
        <is>
          <t>Não</t>
        </is>
      </c>
      <c r="L93" s="15" t="n">
        <v>0</v>
      </c>
      <c r="M93" s="15" t="n">
        <v>0</v>
      </c>
      <c r="N93" s="17">
        <f>IFERROR(M93/L93,"")</f>
        <v/>
      </c>
    </row>
    <row r="94">
      <c r="A94" s="22" t="n">
        <v>46262</v>
      </c>
      <c r="B94" s="11" t="inlineStr">
        <is>
          <t>Sexta</t>
        </is>
      </c>
      <c r="C94" s="11" t="inlineStr">
        <is>
          <t>Semana 6</t>
        </is>
      </c>
      <c r="D94" s="12" t="inlineStr">
        <is>
          <t>Noções de Informática</t>
        </is>
      </c>
      <c r="E94" s="12" t="inlineStr">
        <is>
          <t>Antivírus, firewall e anti-spyware</t>
        </is>
      </c>
      <c r="F94" s="11" t="inlineStr">
        <is>
          <t>Teoria + Questões</t>
        </is>
      </c>
      <c r="G94" s="11" t="inlineStr">
        <is>
          <t>Média</t>
        </is>
      </c>
      <c r="H94" s="11" t="inlineStr">
        <is>
          <t>-</t>
        </is>
      </c>
      <c r="I94" s="11" t="inlineStr">
        <is>
          <t>Não</t>
        </is>
      </c>
      <c r="J94" s="11" t="n">
        <v>0</v>
      </c>
      <c r="K94" s="11" t="inlineStr">
        <is>
          <t>Não</t>
        </is>
      </c>
      <c r="L94" s="11" t="n">
        <v>0</v>
      </c>
      <c r="M94" s="11" t="n">
        <v>0</v>
      </c>
      <c r="N94" s="13">
        <f>IFERROR(M94/L94,"")</f>
        <v/>
      </c>
    </row>
    <row r="95">
      <c r="A95" s="23" t="n">
        <v>46262</v>
      </c>
      <c r="B95" s="15" t="inlineStr">
        <is>
          <t>Sexta</t>
        </is>
      </c>
      <c r="C95" s="15" t="inlineStr">
        <is>
          <t>Semana 6</t>
        </is>
      </c>
      <c r="D95" s="16" t="inlineStr">
        <is>
          <t>Raciocínio Lógico</t>
        </is>
      </c>
      <c r="E95" s="16" t="inlineStr">
        <is>
          <t>Leis de Morgan</t>
        </is>
      </c>
      <c r="F95" s="15" t="inlineStr">
        <is>
          <t>Teoria + Questões</t>
        </is>
      </c>
      <c r="G95" s="15" t="inlineStr">
        <is>
          <t>Alta</t>
        </is>
      </c>
      <c r="H95" s="15" t="inlineStr">
        <is>
          <t>-</t>
        </is>
      </c>
      <c r="I95" s="15" t="inlineStr">
        <is>
          <t>Não</t>
        </is>
      </c>
      <c r="J95" s="15" t="n">
        <v>0</v>
      </c>
      <c r="K95" s="15" t="inlineStr">
        <is>
          <t>Não</t>
        </is>
      </c>
      <c r="L95" s="15" t="n">
        <v>0</v>
      </c>
      <c r="M95" s="15" t="n">
        <v>0</v>
      </c>
      <c r="N95" s="17">
        <f>IFERROR(M95/L95,"")</f>
        <v/>
      </c>
    </row>
    <row r="96">
      <c r="A96" s="22" t="n">
        <v>46263</v>
      </c>
      <c r="B96" s="11" t="inlineStr">
        <is>
          <t>Sábado</t>
        </is>
      </c>
      <c r="C96" s="11" t="inlineStr">
        <is>
          <t>Semana 6</t>
        </is>
      </c>
      <c r="D96" s="12" t="inlineStr">
        <is>
          <t>Simulado Geral</t>
        </is>
      </c>
      <c r="E96" s="12" t="inlineStr">
        <is>
          <t>Simulado completo (ver aba Simulado Semanal)</t>
        </is>
      </c>
      <c r="F96" s="11" t="inlineStr">
        <is>
          <t>Simulado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Não</t>
        </is>
      </c>
      <c r="J96" s="11" t="n">
        <v>0</v>
      </c>
      <c r="K96" s="11" t="inlineStr">
        <is>
          <t>Não</t>
        </is>
      </c>
      <c r="L96" s="11" t="n">
        <v>0</v>
      </c>
      <c r="M96" s="11" t="n">
        <v>0</v>
      </c>
      <c r="N96" s="13">
        <f>IFERROR(M96/L96,"")</f>
        <v/>
      </c>
    </row>
    <row r="97">
      <c r="A97" s="23" t="n">
        <v>46264</v>
      </c>
      <c r="B97" s="15" t="inlineStr">
        <is>
          <t>Domingo</t>
        </is>
      </c>
      <c r="C97" s="15" t="inlineStr">
        <is>
          <t>Semana 6</t>
        </is>
      </c>
      <c r="D97" s="16" t="inlineStr">
        <is>
          <t>TAF</t>
        </is>
      </c>
      <c r="E97" s="16" t="inlineStr">
        <is>
          <t>Teste/treino físico (ver aba TAF Semanal)</t>
        </is>
      </c>
      <c r="F97" s="15" t="inlineStr">
        <is>
          <t>TAF</t>
        </is>
      </c>
      <c r="G97" s="15" t="inlineStr">
        <is>
          <t>-</t>
        </is>
      </c>
      <c r="H97" s="15" t="inlineStr">
        <is>
          <t>-</t>
        </is>
      </c>
      <c r="I97" s="15" t="inlineStr">
        <is>
          <t>Não</t>
        </is>
      </c>
      <c r="J97" s="15" t="n">
        <v>0</v>
      </c>
      <c r="K97" s="15" t="inlineStr">
        <is>
          <t>Não</t>
        </is>
      </c>
      <c r="L97" s="15" t="n">
        <v>0</v>
      </c>
      <c r="M97" s="15" t="n">
        <v>0</v>
      </c>
      <c r="N97" s="17">
        <f>IFERROR(M97/L97,"")</f>
        <v/>
      </c>
    </row>
    <row r="98">
      <c r="A98" s="22" t="n">
        <v>46265</v>
      </c>
      <c r="B98" s="11" t="inlineStr">
        <is>
          <t>Segunda</t>
        </is>
      </c>
      <c r="C98" s="11" t="inlineStr">
        <is>
          <t>Semana 7</t>
        </is>
      </c>
      <c r="D98" s="12" t="inlineStr">
        <is>
          <t>Língua Portuguesa</t>
        </is>
      </c>
      <c r="E98" s="12" t="inlineStr">
        <is>
          <t>Revisão geral + questões (foco nos temas de maior dificuldade)</t>
        </is>
      </c>
      <c r="F98" s="11" t="inlineStr">
        <is>
          <t>Revisão</t>
        </is>
      </c>
      <c r="G98" s="11" t="inlineStr">
        <is>
          <t>Alta</t>
        </is>
      </c>
      <c r="H98" s="11" t="inlineStr">
        <is>
          <t>-</t>
        </is>
      </c>
      <c r="I98" s="11" t="inlineStr">
        <is>
          <t>Não</t>
        </is>
      </c>
      <c r="J98" s="11" t="n">
        <v>0</v>
      </c>
      <c r="K98" s="11" t="inlineStr">
        <is>
          <t>Não</t>
        </is>
      </c>
      <c r="L98" s="11" t="n">
        <v>0</v>
      </c>
      <c r="M98" s="11" t="n">
        <v>0</v>
      </c>
      <c r="N98" s="13">
        <f>IFERROR(M98/L98,"")</f>
        <v/>
      </c>
    </row>
    <row r="99">
      <c r="A99" s="23" t="n">
        <v>46265</v>
      </c>
      <c r="B99" s="15" t="inlineStr">
        <is>
          <t>Segunda</t>
        </is>
      </c>
      <c r="C99" s="15" t="inlineStr">
        <is>
          <t>Semana 7</t>
        </is>
      </c>
      <c r="D99" s="16" t="inlineStr">
        <is>
          <t>Língua Portuguesa</t>
        </is>
      </c>
      <c r="E99" s="16" t="inlineStr">
        <is>
          <t>Revisão geral + questões (foco nos temas de maior dificuldade)</t>
        </is>
      </c>
      <c r="F99" s="15" t="inlineStr">
        <is>
          <t>Revisão</t>
        </is>
      </c>
      <c r="G99" s="15" t="inlineStr">
        <is>
          <t>Alta</t>
        </is>
      </c>
      <c r="H99" s="15" t="inlineStr">
        <is>
          <t>-</t>
        </is>
      </c>
      <c r="I99" s="15" t="inlineStr">
        <is>
          <t>Não</t>
        </is>
      </c>
      <c r="J99" s="15" t="n">
        <v>0</v>
      </c>
      <c r="K99" s="15" t="inlineStr">
        <is>
          <t>Não</t>
        </is>
      </c>
      <c r="L99" s="15" t="n">
        <v>0</v>
      </c>
      <c r="M99" s="15" t="n">
        <v>0</v>
      </c>
      <c r="N99" s="17">
        <f>IFERROR(M99/L99,"")</f>
        <v/>
      </c>
    </row>
    <row r="100">
      <c r="A100" s="22" t="n">
        <v>46266</v>
      </c>
      <c r="B100" s="11" t="inlineStr">
        <is>
          <t>Terça</t>
        </is>
      </c>
      <c r="C100" s="11" t="inlineStr">
        <is>
          <t>Semana 7</t>
        </is>
      </c>
      <c r="D100" s="12" t="inlineStr">
        <is>
          <t>Legislação Institucional</t>
        </is>
      </c>
      <c r="E100" s="12" t="inlineStr">
        <is>
          <t>Revisão geral + questões (foco nos temas de maior dificuldade)</t>
        </is>
      </c>
      <c r="F100" s="11" t="inlineStr">
        <is>
          <t>Revisão</t>
        </is>
      </c>
      <c r="G100" s="11" t="inlineStr">
        <is>
          <t>Alta</t>
        </is>
      </c>
      <c r="H100" s="11" t="inlineStr">
        <is>
          <t>-</t>
        </is>
      </c>
      <c r="I100" s="11" t="inlineStr">
        <is>
          <t>Não</t>
        </is>
      </c>
      <c r="J100" s="11" t="n">
        <v>0</v>
      </c>
      <c r="K100" s="11" t="inlineStr">
        <is>
          <t>Não</t>
        </is>
      </c>
      <c r="L100" s="11" t="n">
        <v>0</v>
      </c>
      <c r="M100" s="11" t="n">
        <v>0</v>
      </c>
      <c r="N100" s="13">
        <f>IFERROR(M100/L100,"")</f>
        <v/>
      </c>
    </row>
    <row r="101">
      <c r="A101" s="23" t="n">
        <v>46266</v>
      </c>
      <c r="B101" s="15" t="inlineStr">
        <is>
          <t>Terça</t>
        </is>
      </c>
      <c r="C101" s="15" t="inlineStr">
        <is>
          <t>Semana 7</t>
        </is>
      </c>
      <c r="D101" s="16" t="inlineStr">
        <is>
          <t>Legislação Institucional</t>
        </is>
      </c>
      <c r="E101" s="16" t="inlineStr">
        <is>
          <t>Revisão geral + questões (foco nos temas de maior dificuldade)</t>
        </is>
      </c>
      <c r="F101" s="15" t="inlineStr">
        <is>
          <t>Revisão</t>
        </is>
      </c>
      <c r="G101" s="15" t="inlineStr">
        <is>
          <t>Alta</t>
        </is>
      </c>
      <c r="H101" s="15" t="inlineStr">
        <is>
          <t>-</t>
        </is>
      </c>
      <c r="I101" s="15" t="inlineStr">
        <is>
          <t>Não</t>
        </is>
      </c>
      <c r="J101" s="15" t="n">
        <v>0</v>
      </c>
      <c r="K101" s="15" t="inlineStr">
        <is>
          <t>Não</t>
        </is>
      </c>
      <c r="L101" s="15" t="n">
        <v>0</v>
      </c>
      <c r="M101" s="15" t="n">
        <v>0</v>
      </c>
      <c r="N101" s="17">
        <f>IFERROR(M101/L101,"")</f>
        <v/>
      </c>
    </row>
    <row r="102">
      <c r="A102" s="22" t="n">
        <v>46266</v>
      </c>
      <c r="B102" s="11" t="inlineStr">
        <is>
          <t>Terça</t>
        </is>
      </c>
      <c r="C102" s="11" t="inlineStr">
        <is>
          <t>Semana 7</t>
        </is>
      </c>
      <c r="D102" s="12" t="inlineStr">
        <is>
          <t>Legislação Institucional</t>
        </is>
      </c>
      <c r="E102" s="12" t="inlineStr">
        <is>
          <t>Revisão geral + questões (foco nos temas de maior dificuldade)</t>
        </is>
      </c>
      <c r="F102" s="11" t="inlineStr">
        <is>
          <t>Revisão</t>
        </is>
      </c>
      <c r="G102" s="11" t="inlineStr">
        <is>
          <t>Alta</t>
        </is>
      </c>
      <c r="H102" s="11" t="inlineStr">
        <is>
          <t>-</t>
        </is>
      </c>
      <c r="I102" s="11" t="inlineStr">
        <is>
          <t>Não</t>
        </is>
      </c>
      <c r="J102" s="11" t="n">
        <v>0</v>
      </c>
      <c r="K102" s="11" t="inlineStr">
        <is>
          <t>Não</t>
        </is>
      </c>
      <c r="L102" s="11" t="n">
        <v>0</v>
      </c>
      <c r="M102" s="11" t="n">
        <v>0</v>
      </c>
      <c r="N102" s="13">
        <f>IFERROR(M102/L102,"")</f>
        <v/>
      </c>
    </row>
    <row r="103">
      <c r="A103" s="23" t="n">
        <v>46267</v>
      </c>
      <c r="B103" s="15" t="inlineStr">
        <is>
          <t>Quarta</t>
        </is>
      </c>
      <c r="C103" s="15" t="inlineStr">
        <is>
          <t>Semana 7</t>
        </is>
      </c>
      <c r="D103" s="16" t="inlineStr">
        <is>
          <t>História do Brasil</t>
        </is>
      </c>
      <c r="E103" s="16" t="inlineStr">
        <is>
          <t>Crise do regime democrático</t>
        </is>
      </c>
      <c r="F103" s="15" t="inlineStr">
        <is>
          <t>Teoria + Questões</t>
        </is>
      </c>
      <c r="G103" s="15" t="inlineStr">
        <is>
          <t>Média</t>
        </is>
      </c>
      <c r="H103" s="15" t="inlineStr">
        <is>
          <t>-</t>
        </is>
      </c>
      <c r="I103" s="15" t="inlineStr">
        <is>
          <t>Não</t>
        </is>
      </c>
      <c r="J103" s="15" t="n">
        <v>0</v>
      </c>
      <c r="K103" s="15" t="inlineStr">
        <is>
          <t>Não</t>
        </is>
      </c>
      <c r="L103" s="15" t="n">
        <v>0</v>
      </c>
      <c r="M103" s="15" t="n">
        <v>0</v>
      </c>
      <c r="N103" s="17">
        <f>IFERROR(M103/L103,"")</f>
        <v/>
      </c>
    </row>
    <row r="104">
      <c r="A104" s="22" t="n">
        <v>46267</v>
      </c>
      <c r="B104" s="11" t="inlineStr">
        <is>
          <t>Quarta</t>
        </is>
      </c>
      <c r="C104" s="11" t="inlineStr">
        <is>
          <t>Semana 7</t>
        </is>
      </c>
      <c r="D104" s="12" t="inlineStr">
        <is>
          <t>História do Brasil</t>
        </is>
      </c>
      <c r="E104" s="12" t="inlineStr">
        <is>
          <t>Golpe de 1964</t>
        </is>
      </c>
      <c r="F104" s="11" t="inlineStr">
        <is>
          <t>Teoria + Questões</t>
        </is>
      </c>
      <c r="G104" s="11" t="inlineStr">
        <is>
          <t>Alta</t>
        </is>
      </c>
      <c r="H104" s="11" t="inlineStr">
        <is>
          <t>🔥</t>
        </is>
      </c>
      <c r="I104" s="11" t="inlineStr">
        <is>
          <t>Não</t>
        </is>
      </c>
      <c r="J104" s="11" t="n">
        <v>0</v>
      </c>
      <c r="K104" s="11" t="inlineStr">
        <is>
          <t>Não</t>
        </is>
      </c>
      <c r="L104" s="11" t="n">
        <v>0</v>
      </c>
      <c r="M104" s="11" t="n">
        <v>0</v>
      </c>
      <c r="N104" s="13">
        <f>IFERROR(M104/L104,"")</f>
        <v/>
      </c>
    </row>
    <row r="105">
      <c r="A105" s="23" t="n">
        <v>46267</v>
      </c>
      <c r="B105" s="15" t="inlineStr">
        <is>
          <t>Quarta</t>
        </is>
      </c>
      <c r="C105" s="15" t="inlineStr">
        <is>
          <t>Semana 7</t>
        </is>
      </c>
      <c r="D105" s="16" t="inlineStr">
        <is>
          <t>História do Maranhão</t>
        </is>
      </c>
      <c r="E105" s="16" t="inlineStr">
        <is>
          <t>Balaiada</t>
        </is>
      </c>
      <c r="F105" s="15" t="inlineStr">
        <is>
          <t>Teoria + Questões</t>
        </is>
      </c>
      <c r="G105" s="15" t="inlineStr">
        <is>
          <t>Alta</t>
        </is>
      </c>
      <c r="H105" s="15" t="inlineStr">
        <is>
          <t>🔥</t>
        </is>
      </c>
      <c r="I105" s="15" t="inlineStr">
        <is>
          <t>Não</t>
        </is>
      </c>
      <c r="J105" s="15" t="n">
        <v>0</v>
      </c>
      <c r="K105" s="15" t="inlineStr">
        <is>
          <t>Não</t>
        </is>
      </c>
      <c r="L105" s="15" t="n">
        <v>0</v>
      </c>
      <c r="M105" s="15" t="n">
        <v>0</v>
      </c>
      <c r="N105" s="17">
        <f>IFERROR(M105/L105,"")</f>
        <v/>
      </c>
    </row>
    <row r="106">
      <c r="A106" s="22" t="n">
        <v>46268</v>
      </c>
      <c r="B106" s="11" t="inlineStr">
        <is>
          <t>Quinta</t>
        </is>
      </c>
      <c r="C106" s="11" t="inlineStr">
        <is>
          <t>Semana 7</t>
        </is>
      </c>
      <c r="D106" s="12" t="inlineStr">
        <is>
          <t>Geografia do Brasil</t>
        </is>
      </c>
      <c r="E106" s="12" t="inlineStr">
        <is>
          <t>Recursos naturais: aproveitamento e conservação</t>
        </is>
      </c>
      <c r="F106" s="11" t="inlineStr">
        <is>
          <t>Teoria + Questões</t>
        </is>
      </c>
      <c r="G106" s="11" t="inlineStr">
        <is>
          <t>Média</t>
        </is>
      </c>
      <c r="H106" s="11" t="inlineStr">
        <is>
          <t>-</t>
        </is>
      </c>
      <c r="I106" s="11" t="inlineStr">
        <is>
          <t>Não</t>
        </is>
      </c>
      <c r="J106" s="11" t="n">
        <v>0</v>
      </c>
      <c r="K106" s="11" t="inlineStr">
        <is>
          <t>Não</t>
        </is>
      </c>
      <c r="L106" s="11" t="n">
        <v>0</v>
      </c>
      <c r="M106" s="11" t="n">
        <v>0</v>
      </c>
      <c r="N106" s="13">
        <f>IFERROR(M106/L106,"")</f>
        <v/>
      </c>
    </row>
    <row r="107">
      <c r="A107" s="23" t="n">
        <v>46268</v>
      </c>
      <c r="B107" s="15" t="inlineStr">
        <is>
          <t>Quinta</t>
        </is>
      </c>
      <c r="C107" s="15" t="inlineStr">
        <is>
          <t>Semana 7</t>
        </is>
      </c>
      <c r="D107" s="16" t="inlineStr">
        <is>
          <t>Geografia do Brasil</t>
        </is>
      </c>
      <c r="E107" s="16" t="inlineStr">
        <is>
          <t>Revisão geral + questões (foco nos temas de maior dificuldade)</t>
        </is>
      </c>
      <c r="F107" s="15" t="inlineStr">
        <is>
          <t>Revisão</t>
        </is>
      </c>
      <c r="G107" s="15" t="inlineStr">
        <is>
          <t>Alta</t>
        </is>
      </c>
      <c r="H107" s="15" t="inlineStr">
        <is>
          <t>-</t>
        </is>
      </c>
      <c r="I107" s="15" t="inlineStr">
        <is>
          <t>Não</t>
        </is>
      </c>
      <c r="J107" s="15" t="n">
        <v>0</v>
      </c>
      <c r="K107" s="15" t="inlineStr">
        <is>
          <t>Não</t>
        </is>
      </c>
      <c r="L107" s="15" t="n">
        <v>0</v>
      </c>
      <c r="M107" s="15" t="n">
        <v>0</v>
      </c>
      <c r="N107" s="17">
        <f>IFERROR(M107/L107,"")</f>
        <v/>
      </c>
    </row>
    <row r="108">
      <c r="A108" s="22" t="n">
        <v>46268</v>
      </c>
      <c r="B108" s="11" t="inlineStr">
        <is>
          <t>Quinta</t>
        </is>
      </c>
      <c r="C108" s="11" t="inlineStr">
        <is>
          <t>Semana 7</t>
        </is>
      </c>
      <c r="D108" s="12" t="inlineStr">
        <is>
          <t>Geografia do Maranhão</t>
        </is>
      </c>
      <c r="E108" s="12" t="inlineStr">
        <is>
          <t>Agricultura maranhense</t>
        </is>
      </c>
      <c r="F108" s="11" t="inlineStr">
        <is>
          <t>Teoria + Questões</t>
        </is>
      </c>
      <c r="G108" s="11" t="inlineStr">
        <is>
          <t>Alta</t>
        </is>
      </c>
      <c r="H108" s="11" t="inlineStr">
        <is>
          <t>🔥</t>
        </is>
      </c>
      <c r="I108" s="11" t="inlineStr">
        <is>
          <t>Não</t>
        </is>
      </c>
      <c r="J108" s="11" t="n">
        <v>0</v>
      </c>
      <c r="K108" s="11" t="inlineStr">
        <is>
          <t>Não</t>
        </is>
      </c>
      <c r="L108" s="11" t="n">
        <v>0</v>
      </c>
      <c r="M108" s="11" t="n">
        <v>0</v>
      </c>
      <c r="N108" s="13">
        <f>IFERROR(M108/L108,"")</f>
        <v/>
      </c>
    </row>
    <row r="109">
      <c r="A109" s="23" t="n">
        <v>46269</v>
      </c>
      <c r="B109" s="15" t="inlineStr">
        <is>
          <t>Sexta</t>
        </is>
      </c>
      <c r="C109" s="15" t="inlineStr">
        <is>
          <t>Semana 7</t>
        </is>
      </c>
      <c r="D109" s="16" t="inlineStr">
        <is>
          <t>Noções de Informática</t>
        </is>
      </c>
      <c r="E109" s="16" t="inlineStr">
        <is>
          <t>Backup e armazenamento em nuvem</t>
        </is>
      </c>
      <c r="F109" s="15" t="inlineStr">
        <is>
          <t>Teoria + Questões</t>
        </is>
      </c>
      <c r="G109" s="15" t="inlineStr">
        <is>
          <t>Alta</t>
        </is>
      </c>
      <c r="H109" s="15" t="inlineStr">
        <is>
          <t>🔥</t>
        </is>
      </c>
      <c r="I109" s="15" t="inlineStr">
        <is>
          <t>Não</t>
        </is>
      </c>
      <c r="J109" s="15" t="n">
        <v>0</v>
      </c>
      <c r="K109" s="15" t="inlineStr">
        <is>
          <t>Não</t>
        </is>
      </c>
      <c r="L109" s="15" t="n">
        <v>0</v>
      </c>
      <c r="M109" s="15" t="n">
        <v>0</v>
      </c>
      <c r="N109" s="17">
        <f>IFERROR(M109/L109,"")</f>
        <v/>
      </c>
    </row>
    <row r="110">
      <c r="A110" s="22" t="n">
        <v>46269</v>
      </c>
      <c r="B110" s="11" t="inlineStr">
        <is>
          <t>Sexta</t>
        </is>
      </c>
      <c r="C110" s="11" t="inlineStr">
        <is>
          <t>Semana 7</t>
        </is>
      </c>
      <c r="D110" s="12" t="inlineStr">
        <is>
          <t>Noções de Informática</t>
        </is>
      </c>
      <c r="E110" s="12" t="inlineStr">
        <is>
          <t>Revisão geral + questões (foco nos temas de maior dificuldade)</t>
        </is>
      </c>
      <c r="F110" s="11" t="inlineStr">
        <is>
          <t>Revisão</t>
        </is>
      </c>
      <c r="G110" s="11" t="inlineStr">
        <is>
          <t>Alta</t>
        </is>
      </c>
      <c r="H110" s="11" t="inlineStr">
        <is>
          <t>-</t>
        </is>
      </c>
      <c r="I110" s="11" t="inlineStr">
        <is>
          <t>Não</t>
        </is>
      </c>
      <c r="J110" s="11" t="n">
        <v>0</v>
      </c>
      <c r="K110" s="11" t="inlineStr">
        <is>
          <t>Não</t>
        </is>
      </c>
      <c r="L110" s="11" t="n">
        <v>0</v>
      </c>
      <c r="M110" s="11" t="n">
        <v>0</v>
      </c>
      <c r="N110" s="13">
        <f>IFERROR(M110/L110,"")</f>
        <v/>
      </c>
    </row>
    <row r="111">
      <c r="A111" s="23" t="n">
        <v>46269</v>
      </c>
      <c r="B111" s="15" t="inlineStr">
        <is>
          <t>Sexta</t>
        </is>
      </c>
      <c r="C111" s="15" t="inlineStr">
        <is>
          <t>Semana 7</t>
        </is>
      </c>
      <c r="D111" s="16" t="inlineStr">
        <is>
          <t>Raciocínio Lógico</t>
        </is>
      </c>
      <c r="E111" s="16" t="inlineStr">
        <is>
          <t>Diagramas lógicos</t>
        </is>
      </c>
      <c r="F111" s="15" t="inlineStr">
        <is>
          <t>Teoria + Questões</t>
        </is>
      </c>
      <c r="G111" s="15" t="inlineStr">
        <is>
          <t>Média</t>
        </is>
      </c>
      <c r="H111" s="15" t="inlineStr">
        <is>
          <t>-</t>
        </is>
      </c>
      <c r="I111" s="15" t="inlineStr">
        <is>
          <t>Não</t>
        </is>
      </c>
      <c r="J111" s="15" t="n">
        <v>0</v>
      </c>
      <c r="K111" s="15" t="inlineStr">
        <is>
          <t>Não</t>
        </is>
      </c>
      <c r="L111" s="15" t="n">
        <v>0</v>
      </c>
      <c r="M111" s="15" t="n">
        <v>0</v>
      </c>
      <c r="N111" s="17">
        <f>IFERROR(M111/L111,"")</f>
        <v/>
      </c>
    </row>
    <row r="112">
      <c r="A112" s="22" t="n">
        <v>46270</v>
      </c>
      <c r="B112" s="11" t="inlineStr">
        <is>
          <t>Sábado</t>
        </is>
      </c>
      <c r="C112" s="11" t="inlineStr">
        <is>
          <t>Semana 7</t>
        </is>
      </c>
      <c r="D112" s="12" t="inlineStr">
        <is>
          <t>Simulado Geral</t>
        </is>
      </c>
      <c r="E112" s="12" t="inlineStr">
        <is>
          <t>Simulado completo (ver aba Simulado Semanal)</t>
        </is>
      </c>
      <c r="F112" s="11" t="inlineStr">
        <is>
          <t>Simulado</t>
        </is>
      </c>
      <c r="G112" s="11" t="inlineStr">
        <is>
          <t>-</t>
        </is>
      </c>
      <c r="H112" s="11" t="inlineStr">
        <is>
          <t>-</t>
        </is>
      </c>
      <c r="I112" s="11" t="inlineStr">
        <is>
          <t>Não</t>
        </is>
      </c>
      <c r="J112" s="11" t="n">
        <v>0</v>
      </c>
      <c r="K112" s="11" t="inlineStr">
        <is>
          <t>Não</t>
        </is>
      </c>
      <c r="L112" s="11" t="n">
        <v>0</v>
      </c>
      <c r="M112" s="11" t="n">
        <v>0</v>
      </c>
      <c r="N112" s="13">
        <f>IFERROR(M112/L112,"")</f>
        <v/>
      </c>
    </row>
    <row r="113">
      <c r="A113" s="23" t="n">
        <v>46271</v>
      </c>
      <c r="B113" s="15" t="inlineStr">
        <is>
          <t>Domingo</t>
        </is>
      </c>
      <c r="C113" s="15" t="inlineStr">
        <is>
          <t>Semana 7</t>
        </is>
      </c>
      <c r="D113" s="16" t="inlineStr">
        <is>
          <t>TAF</t>
        </is>
      </c>
      <c r="E113" s="16" t="inlineStr">
        <is>
          <t>Teste/treino físico (ver aba TAF Semanal)</t>
        </is>
      </c>
      <c r="F113" s="15" t="inlineStr">
        <is>
          <t>TAF</t>
        </is>
      </c>
      <c r="G113" s="15" t="inlineStr">
        <is>
          <t>-</t>
        </is>
      </c>
      <c r="H113" s="15" t="inlineStr">
        <is>
          <t>-</t>
        </is>
      </c>
      <c r="I113" s="15" t="inlineStr">
        <is>
          <t>Não</t>
        </is>
      </c>
      <c r="J113" s="15" t="n">
        <v>0</v>
      </c>
      <c r="K113" s="15" t="inlineStr">
        <is>
          <t>Não</t>
        </is>
      </c>
      <c r="L113" s="15" t="n">
        <v>0</v>
      </c>
      <c r="M113" s="15" t="n">
        <v>0</v>
      </c>
      <c r="N113" s="17">
        <f>IFERROR(M113/L113,"")</f>
        <v/>
      </c>
    </row>
    <row r="114">
      <c r="A114" s="22" t="n">
        <v>46272</v>
      </c>
      <c r="B114" s="11" t="inlineStr">
        <is>
          <t>Segunda</t>
        </is>
      </c>
      <c r="C114" s="11" t="inlineStr">
        <is>
          <t>Semana 8</t>
        </is>
      </c>
      <c r="D114" s="12" t="inlineStr">
        <is>
          <t>Língua Portuguesa</t>
        </is>
      </c>
      <c r="E114" s="12" t="inlineStr">
        <is>
          <t>Revisão geral + questões (foco nos temas de maior dificuldade)</t>
        </is>
      </c>
      <c r="F114" s="11" t="inlineStr">
        <is>
          <t>Revisão</t>
        </is>
      </c>
      <c r="G114" s="11" t="inlineStr">
        <is>
          <t>Alta</t>
        </is>
      </c>
      <c r="H114" s="11" t="inlineStr">
        <is>
          <t>-</t>
        </is>
      </c>
      <c r="I114" s="11" t="inlineStr">
        <is>
          <t>Não</t>
        </is>
      </c>
      <c r="J114" s="11" t="n">
        <v>0</v>
      </c>
      <c r="K114" s="11" t="inlineStr">
        <is>
          <t>Não</t>
        </is>
      </c>
      <c r="L114" s="11" t="n">
        <v>0</v>
      </c>
      <c r="M114" s="11" t="n">
        <v>0</v>
      </c>
      <c r="N114" s="13">
        <f>IFERROR(M114/L114,"")</f>
        <v/>
      </c>
    </row>
    <row r="115">
      <c r="A115" s="23" t="n">
        <v>46272</v>
      </c>
      <c r="B115" s="15" t="inlineStr">
        <is>
          <t>Segunda</t>
        </is>
      </c>
      <c r="C115" s="15" t="inlineStr">
        <is>
          <t>Semana 8</t>
        </is>
      </c>
      <c r="D115" s="16" t="inlineStr">
        <is>
          <t>Língua Portuguesa</t>
        </is>
      </c>
      <c r="E115" s="16" t="inlineStr">
        <is>
          <t>Revisão geral + questões (foco nos temas de maior dificuldade)</t>
        </is>
      </c>
      <c r="F115" s="15" t="inlineStr">
        <is>
          <t>Revisão</t>
        </is>
      </c>
      <c r="G115" s="15" t="inlineStr">
        <is>
          <t>Alta</t>
        </is>
      </c>
      <c r="H115" s="15" t="inlineStr">
        <is>
          <t>-</t>
        </is>
      </c>
      <c r="I115" s="15" t="inlineStr">
        <is>
          <t>Não</t>
        </is>
      </c>
      <c r="J115" s="15" t="n">
        <v>0</v>
      </c>
      <c r="K115" s="15" t="inlineStr">
        <is>
          <t>Não</t>
        </is>
      </c>
      <c r="L115" s="15" t="n">
        <v>0</v>
      </c>
      <c r="M115" s="15" t="n">
        <v>0</v>
      </c>
      <c r="N115" s="17">
        <f>IFERROR(M115/L115,"")</f>
        <v/>
      </c>
    </row>
    <row r="116">
      <c r="A116" s="22" t="n">
        <v>46273</v>
      </c>
      <c r="B116" s="11" t="inlineStr">
        <is>
          <t>Terça</t>
        </is>
      </c>
      <c r="C116" s="11" t="inlineStr">
        <is>
          <t>Semana 8</t>
        </is>
      </c>
      <c r="D116" s="12" t="inlineStr">
        <is>
          <t>Legislação Institucional</t>
        </is>
      </c>
      <c r="E116" s="12" t="inlineStr">
        <is>
          <t>Revisão geral + questões (foco nos temas de maior dificuldade)</t>
        </is>
      </c>
      <c r="F116" s="11" t="inlineStr">
        <is>
          <t>Revisão</t>
        </is>
      </c>
      <c r="G116" s="11" t="inlineStr">
        <is>
          <t>Alta</t>
        </is>
      </c>
      <c r="H116" s="11" t="inlineStr">
        <is>
          <t>-</t>
        </is>
      </c>
      <c r="I116" s="11" t="inlineStr">
        <is>
          <t>Não</t>
        </is>
      </c>
      <c r="J116" s="11" t="n">
        <v>0</v>
      </c>
      <c r="K116" s="11" t="inlineStr">
        <is>
          <t>Não</t>
        </is>
      </c>
      <c r="L116" s="11" t="n">
        <v>0</v>
      </c>
      <c r="M116" s="11" t="n">
        <v>0</v>
      </c>
      <c r="N116" s="13">
        <f>IFERROR(M116/L116,"")</f>
        <v/>
      </c>
    </row>
    <row r="117">
      <c r="A117" s="23" t="n">
        <v>46273</v>
      </c>
      <c r="B117" s="15" t="inlineStr">
        <is>
          <t>Terça</t>
        </is>
      </c>
      <c r="C117" s="15" t="inlineStr">
        <is>
          <t>Semana 8</t>
        </is>
      </c>
      <c r="D117" s="16" t="inlineStr">
        <is>
          <t>Legislação Institucional</t>
        </is>
      </c>
      <c r="E117" s="16" t="inlineStr">
        <is>
          <t>Revisão geral + questões (foco nos temas de maior dificuldade)</t>
        </is>
      </c>
      <c r="F117" s="15" t="inlineStr">
        <is>
          <t>Revisão</t>
        </is>
      </c>
      <c r="G117" s="15" t="inlineStr">
        <is>
          <t>Alta</t>
        </is>
      </c>
      <c r="H117" s="15" t="inlineStr">
        <is>
          <t>-</t>
        </is>
      </c>
      <c r="I117" s="15" t="inlineStr">
        <is>
          <t>Não</t>
        </is>
      </c>
      <c r="J117" s="15" t="n">
        <v>0</v>
      </c>
      <c r="K117" s="15" t="inlineStr">
        <is>
          <t>Não</t>
        </is>
      </c>
      <c r="L117" s="15" t="n">
        <v>0</v>
      </c>
      <c r="M117" s="15" t="n">
        <v>0</v>
      </c>
      <c r="N117" s="17">
        <f>IFERROR(M117/L117,"")</f>
        <v/>
      </c>
    </row>
    <row r="118">
      <c r="A118" s="22" t="n">
        <v>46273</v>
      </c>
      <c r="B118" s="11" t="inlineStr">
        <is>
          <t>Terça</t>
        </is>
      </c>
      <c r="C118" s="11" t="inlineStr">
        <is>
          <t>Semana 8</t>
        </is>
      </c>
      <c r="D118" s="12" t="inlineStr">
        <is>
          <t>Legislação Institucional</t>
        </is>
      </c>
      <c r="E118" s="12" t="inlineStr">
        <is>
          <t>Revisão geral + questões (foco nos temas de maior dificuldade)</t>
        </is>
      </c>
      <c r="F118" s="11" t="inlineStr">
        <is>
          <t>Revisão</t>
        </is>
      </c>
      <c r="G118" s="11" t="inlineStr">
        <is>
          <t>Alta</t>
        </is>
      </c>
      <c r="H118" s="11" t="inlineStr">
        <is>
          <t>-</t>
        </is>
      </c>
      <c r="I118" s="11" t="inlineStr">
        <is>
          <t>Não</t>
        </is>
      </c>
      <c r="J118" s="11" t="n">
        <v>0</v>
      </c>
      <c r="K118" s="11" t="inlineStr">
        <is>
          <t>Não</t>
        </is>
      </c>
      <c r="L118" s="11" t="n">
        <v>0</v>
      </c>
      <c r="M118" s="11" t="n">
        <v>0</v>
      </c>
      <c r="N118" s="13">
        <f>IFERROR(M118/L118,"")</f>
        <v/>
      </c>
    </row>
    <row r="119">
      <c r="A119" s="23" t="n">
        <v>46274</v>
      </c>
      <c r="B119" s="15" t="inlineStr">
        <is>
          <t>Quarta</t>
        </is>
      </c>
      <c r="C119" s="15" t="inlineStr">
        <is>
          <t>Semana 8</t>
        </is>
      </c>
      <c r="D119" s="16" t="inlineStr">
        <is>
          <t>História do Brasil</t>
        </is>
      </c>
      <c r="E119" s="16" t="inlineStr">
        <is>
          <t>Crise do regime militar e redemocratização</t>
        </is>
      </c>
      <c r="F119" s="15" t="inlineStr">
        <is>
          <t>Teoria + Questões</t>
        </is>
      </c>
      <c r="G119" s="15" t="inlineStr">
        <is>
          <t>Alta</t>
        </is>
      </c>
      <c r="H119" s="15" t="inlineStr">
        <is>
          <t>🔥</t>
        </is>
      </c>
      <c r="I119" s="15" t="inlineStr">
        <is>
          <t>Não</t>
        </is>
      </c>
      <c r="J119" s="15" t="n">
        <v>0</v>
      </c>
      <c r="K119" s="15" t="inlineStr">
        <is>
          <t>Não</t>
        </is>
      </c>
      <c r="L119" s="15" t="n">
        <v>0</v>
      </c>
      <c r="M119" s="15" t="n">
        <v>0</v>
      </c>
      <c r="N119" s="17">
        <f>IFERROR(M119/L119,"")</f>
        <v/>
      </c>
    </row>
    <row r="120">
      <c r="A120" s="22" t="n">
        <v>46274</v>
      </c>
      <c r="B120" s="11" t="inlineStr">
        <is>
          <t>Quarta</t>
        </is>
      </c>
      <c r="C120" s="11" t="inlineStr">
        <is>
          <t>Semana 8</t>
        </is>
      </c>
      <c r="D120" s="12" t="inlineStr">
        <is>
          <t>História do Maranhão</t>
        </is>
      </c>
      <c r="E120" s="12" t="inlineStr">
        <is>
          <t>Adesão do Maranhão à República</t>
        </is>
      </c>
      <c r="F120" s="11" t="inlineStr">
        <is>
          <t>Teoria + Questões</t>
        </is>
      </c>
      <c r="G120" s="11" t="inlineStr">
        <is>
          <t>Média</t>
        </is>
      </c>
      <c r="H120" s="11" t="inlineStr">
        <is>
          <t>-</t>
        </is>
      </c>
      <c r="I120" s="11" t="inlineStr">
        <is>
          <t>Não</t>
        </is>
      </c>
      <c r="J120" s="11" t="n">
        <v>0</v>
      </c>
      <c r="K120" s="11" t="inlineStr">
        <is>
          <t>Não</t>
        </is>
      </c>
      <c r="L120" s="11" t="n">
        <v>0</v>
      </c>
      <c r="M120" s="11" t="n">
        <v>0</v>
      </c>
      <c r="N120" s="13">
        <f>IFERROR(M120/L120,"")</f>
        <v/>
      </c>
    </row>
    <row r="121">
      <c r="A121" s="23" t="n">
        <v>46274</v>
      </c>
      <c r="B121" s="15" t="inlineStr">
        <is>
          <t>Quarta</t>
        </is>
      </c>
      <c r="C121" s="15" t="inlineStr">
        <is>
          <t>Semana 8</t>
        </is>
      </c>
      <c r="D121" s="16" t="inlineStr">
        <is>
          <t>História do Maranhão</t>
        </is>
      </c>
      <c r="E121" s="16" t="inlineStr">
        <is>
          <t>Revolução de 1930 no Maranhão</t>
        </is>
      </c>
      <c r="F121" s="15" t="inlineStr">
        <is>
          <t>Teoria + Questões</t>
        </is>
      </c>
      <c r="G121" s="15" t="inlineStr">
        <is>
          <t>Média</t>
        </is>
      </c>
      <c r="H121" s="15" t="inlineStr">
        <is>
          <t>-</t>
        </is>
      </c>
      <c r="I121" s="15" t="inlineStr">
        <is>
          <t>Não</t>
        </is>
      </c>
      <c r="J121" s="15" t="n">
        <v>0</v>
      </c>
      <c r="K121" s="15" t="inlineStr">
        <is>
          <t>Não</t>
        </is>
      </c>
      <c r="L121" s="15" t="n">
        <v>0</v>
      </c>
      <c r="M121" s="15" t="n">
        <v>0</v>
      </c>
      <c r="N121" s="17">
        <f>IFERROR(M121/L121,"")</f>
        <v/>
      </c>
    </row>
    <row r="122">
      <c r="A122" s="22" t="n">
        <v>46275</v>
      </c>
      <c r="B122" s="11" t="inlineStr">
        <is>
          <t>Quinta</t>
        </is>
      </c>
      <c r="C122" s="11" t="inlineStr">
        <is>
          <t>Semana 8</t>
        </is>
      </c>
      <c r="D122" s="12" t="inlineStr">
        <is>
          <t>Geografia do Brasil</t>
        </is>
      </c>
      <c r="E122" s="12" t="inlineStr">
        <is>
          <t>Revisão geral + questões (foco nos temas de maior dificuldade)</t>
        </is>
      </c>
      <c r="F122" s="11" t="inlineStr">
        <is>
          <t>Revisão</t>
        </is>
      </c>
      <c r="G122" s="11" t="inlineStr">
        <is>
          <t>Alta</t>
        </is>
      </c>
      <c r="H122" s="11" t="inlineStr">
        <is>
          <t>-</t>
        </is>
      </c>
      <c r="I122" s="11" t="inlineStr">
        <is>
          <t>Não</t>
        </is>
      </c>
      <c r="J122" s="11" t="n">
        <v>0</v>
      </c>
      <c r="K122" s="11" t="inlineStr">
        <is>
          <t>Não</t>
        </is>
      </c>
      <c r="L122" s="11" t="n">
        <v>0</v>
      </c>
      <c r="M122" s="11" t="n">
        <v>0</v>
      </c>
      <c r="N122" s="13">
        <f>IFERROR(M122/L122,"")</f>
        <v/>
      </c>
    </row>
    <row r="123">
      <c r="A123" s="23" t="n">
        <v>46275</v>
      </c>
      <c r="B123" s="15" t="inlineStr">
        <is>
          <t>Quinta</t>
        </is>
      </c>
      <c r="C123" s="15" t="inlineStr">
        <is>
          <t>Semana 8</t>
        </is>
      </c>
      <c r="D123" s="16" t="inlineStr">
        <is>
          <t>Geografia do Maranhão</t>
        </is>
      </c>
      <c r="E123" s="16" t="inlineStr">
        <is>
          <t>Extrativismo vegetal, animal e mineral</t>
        </is>
      </c>
      <c r="F123" s="15" t="inlineStr">
        <is>
          <t>Teoria + Questões</t>
        </is>
      </c>
      <c r="G123" s="15" t="inlineStr">
        <is>
          <t>Alta</t>
        </is>
      </c>
      <c r="H123" s="15" t="inlineStr">
        <is>
          <t>🔥</t>
        </is>
      </c>
      <c r="I123" s="15" t="inlineStr">
        <is>
          <t>Não</t>
        </is>
      </c>
      <c r="J123" s="15" t="n">
        <v>0</v>
      </c>
      <c r="K123" s="15" t="inlineStr">
        <is>
          <t>Não</t>
        </is>
      </c>
      <c r="L123" s="15" t="n">
        <v>0</v>
      </c>
      <c r="M123" s="15" t="n">
        <v>0</v>
      </c>
      <c r="N123" s="17">
        <f>IFERROR(M123/L123,"")</f>
        <v/>
      </c>
    </row>
    <row r="124">
      <c r="A124" s="22" t="n">
        <v>46275</v>
      </c>
      <c r="B124" s="11" t="inlineStr">
        <is>
          <t>Quinta</t>
        </is>
      </c>
      <c r="C124" s="11" t="inlineStr">
        <is>
          <t>Semana 8</t>
        </is>
      </c>
      <c r="D124" s="12" t="inlineStr">
        <is>
          <t>Geografia do Maranhão</t>
        </is>
      </c>
      <c r="E124" s="12" t="inlineStr">
        <is>
          <t>Parque industrial: base e transformação</t>
        </is>
      </c>
      <c r="F124" s="11" t="inlineStr">
        <is>
          <t>Teoria + Questões</t>
        </is>
      </c>
      <c r="G124" s="11" t="inlineStr">
        <is>
          <t>Média</t>
        </is>
      </c>
      <c r="H124" s="11" t="inlineStr">
        <is>
          <t>-</t>
        </is>
      </c>
      <c r="I124" s="11" t="inlineStr">
        <is>
          <t>Não</t>
        </is>
      </c>
      <c r="J124" s="11" t="n">
        <v>0</v>
      </c>
      <c r="K124" s="11" t="inlineStr">
        <is>
          <t>Não</t>
        </is>
      </c>
      <c r="L124" s="11" t="n">
        <v>0</v>
      </c>
      <c r="M124" s="11" t="n">
        <v>0</v>
      </c>
      <c r="N124" s="13">
        <f>IFERROR(M124/L124,"")</f>
        <v/>
      </c>
    </row>
    <row r="125">
      <c r="A125" s="23" t="n">
        <v>46276</v>
      </c>
      <c r="B125" s="15" t="inlineStr">
        <is>
          <t>Sexta</t>
        </is>
      </c>
      <c r="C125" s="15" t="inlineStr">
        <is>
          <t>Semana 8</t>
        </is>
      </c>
      <c r="D125" s="16" t="inlineStr">
        <is>
          <t>Noções de Informática</t>
        </is>
      </c>
      <c r="E125" s="16" t="inlineStr">
        <is>
          <t>Revisão geral + questões (foco nos temas de maior dificuldade)</t>
        </is>
      </c>
      <c r="F125" s="15" t="inlineStr">
        <is>
          <t>Revisão</t>
        </is>
      </c>
      <c r="G125" s="15" t="inlineStr">
        <is>
          <t>Alta</t>
        </is>
      </c>
      <c r="H125" s="15" t="inlineStr">
        <is>
          <t>-</t>
        </is>
      </c>
      <c r="I125" s="15" t="inlineStr">
        <is>
          <t>Não</t>
        </is>
      </c>
      <c r="J125" s="15" t="n">
        <v>0</v>
      </c>
      <c r="K125" s="15" t="inlineStr">
        <is>
          <t>Não</t>
        </is>
      </c>
      <c r="L125" s="15" t="n">
        <v>0</v>
      </c>
      <c r="M125" s="15" t="n">
        <v>0</v>
      </c>
      <c r="N125" s="17">
        <f>IFERROR(M125/L125,"")</f>
        <v/>
      </c>
    </row>
    <row r="126">
      <c r="A126" s="22" t="n">
        <v>46276</v>
      </c>
      <c r="B126" s="11" t="inlineStr">
        <is>
          <t>Sexta</t>
        </is>
      </c>
      <c r="C126" s="11" t="inlineStr">
        <is>
          <t>Semana 8</t>
        </is>
      </c>
      <c r="D126" s="12" t="inlineStr">
        <is>
          <t>Noções de Informática</t>
        </is>
      </c>
      <c r="E126" s="12" t="inlineStr">
        <is>
          <t>Revisão geral + questões (foco nos temas de maior dificuldade)</t>
        </is>
      </c>
      <c r="F126" s="11" t="inlineStr">
        <is>
          <t>Revisão</t>
        </is>
      </c>
      <c r="G126" s="11" t="inlineStr">
        <is>
          <t>Alta</t>
        </is>
      </c>
      <c r="H126" s="11" t="inlineStr">
        <is>
          <t>-</t>
        </is>
      </c>
      <c r="I126" s="11" t="inlineStr">
        <is>
          <t>Não</t>
        </is>
      </c>
      <c r="J126" s="11" t="n">
        <v>0</v>
      </c>
      <c r="K126" s="11" t="inlineStr">
        <is>
          <t>Não</t>
        </is>
      </c>
      <c r="L126" s="11" t="n">
        <v>0</v>
      </c>
      <c r="M126" s="11" t="n">
        <v>0</v>
      </c>
      <c r="N126" s="13">
        <f>IFERROR(M126/L126,"")</f>
        <v/>
      </c>
    </row>
    <row r="127">
      <c r="A127" s="23" t="n">
        <v>46276</v>
      </c>
      <c r="B127" s="15" t="inlineStr">
        <is>
          <t>Sexta</t>
        </is>
      </c>
      <c r="C127" s="15" t="inlineStr">
        <is>
          <t>Semana 8</t>
        </is>
      </c>
      <c r="D127" s="16" t="inlineStr">
        <is>
          <t>Raciocínio Lógico</t>
        </is>
      </c>
      <c r="E127" s="16" t="inlineStr">
        <is>
          <t>Revisão geral + questões (foco nos temas de maior dificuldade)</t>
        </is>
      </c>
      <c r="F127" s="15" t="inlineStr">
        <is>
          <t>Revisão</t>
        </is>
      </c>
      <c r="G127" s="15" t="inlineStr">
        <is>
          <t>Alta</t>
        </is>
      </c>
      <c r="H127" s="15" t="inlineStr">
        <is>
          <t>-</t>
        </is>
      </c>
      <c r="I127" s="15" t="inlineStr">
        <is>
          <t>Não</t>
        </is>
      </c>
      <c r="J127" s="15" t="n">
        <v>0</v>
      </c>
      <c r="K127" s="15" t="inlineStr">
        <is>
          <t>Não</t>
        </is>
      </c>
      <c r="L127" s="15" t="n">
        <v>0</v>
      </c>
      <c r="M127" s="15" t="n">
        <v>0</v>
      </c>
      <c r="N127" s="17">
        <f>IFERROR(M127/L127,"")</f>
        <v/>
      </c>
    </row>
    <row r="128">
      <c r="A128" s="22" t="n">
        <v>46277</v>
      </c>
      <c r="B128" s="11" t="inlineStr">
        <is>
          <t>Sábado</t>
        </is>
      </c>
      <c r="C128" s="11" t="inlineStr">
        <is>
          <t>Semana 8</t>
        </is>
      </c>
      <c r="D128" s="12" t="inlineStr">
        <is>
          <t>Simulado Geral</t>
        </is>
      </c>
      <c r="E128" s="12" t="inlineStr">
        <is>
          <t>Simulado completo (ver aba Simulado Semanal)</t>
        </is>
      </c>
      <c r="F128" s="11" t="inlineStr">
        <is>
          <t>Simulado</t>
        </is>
      </c>
      <c r="G128" s="11" t="inlineStr">
        <is>
          <t>-</t>
        </is>
      </c>
      <c r="H128" s="11" t="inlineStr">
        <is>
          <t>-</t>
        </is>
      </c>
      <c r="I128" s="11" t="inlineStr">
        <is>
          <t>Não</t>
        </is>
      </c>
      <c r="J128" s="11" t="n">
        <v>0</v>
      </c>
      <c r="K128" s="11" t="inlineStr">
        <is>
          <t>Não</t>
        </is>
      </c>
      <c r="L128" s="11" t="n">
        <v>0</v>
      </c>
      <c r="M128" s="11" t="n">
        <v>0</v>
      </c>
      <c r="N128" s="13">
        <f>IFERROR(M128/L128,"")</f>
        <v/>
      </c>
    </row>
    <row r="129">
      <c r="A129" s="23" t="n">
        <v>46278</v>
      </c>
      <c r="B129" s="15" t="inlineStr">
        <is>
          <t>Domingo</t>
        </is>
      </c>
      <c r="C129" s="15" t="inlineStr">
        <is>
          <t>Semana 8</t>
        </is>
      </c>
      <c r="D129" s="16" t="inlineStr">
        <is>
          <t>TAF</t>
        </is>
      </c>
      <c r="E129" s="16" t="inlineStr">
        <is>
          <t>Teste/treino físico (ver aba TAF Semanal)</t>
        </is>
      </c>
      <c r="F129" s="15" t="inlineStr">
        <is>
          <t>TAF</t>
        </is>
      </c>
      <c r="G129" s="15" t="inlineStr">
        <is>
          <t>-</t>
        </is>
      </c>
      <c r="H129" s="15" t="inlineStr">
        <is>
          <t>-</t>
        </is>
      </c>
      <c r="I129" s="15" t="inlineStr">
        <is>
          <t>Não</t>
        </is>
      </c>
      <c r="J129" s="15" t="n">
        <v>0</v>
      </c>
      <c r="K129" s="15" t="inlineStr">
        <is>
          <t>Não</t>
        </is>
      </c>
      <c r="L129" s="15" t="n">
        <v>0</v>
      </c>
      <c r="M129" s="15" t="n">
        <v>0</v>
      </c>
      <c r="N129" s="17">
        <f>IFERROR(M129/L129,"")</f>
        <v/>
      </c>
    </row>
    <row r="130">
      <c r="A130" s="22" t="n">
        <v>46279</v>
      </c>
      <c r="B130" s="11" t="inlineStr">
        <is>
          <t>Segunda</t>
        </is>
      </c>
      <c r="C130" s="11" t="inlineStr">
        <is>
          <t>Revisão (semana 1)</t>
        </is>
      </c>
      <c r="D130" s="12" t="inlineStr">
        <is>
          <t>Língua Portuguesa</t>
        </is>
      </c>
      <c r="E130" s="12" t="inlineStr">
        <is>
          <t>Revisão geral + questões (reforço final)</t>
        </is>
      </c>
      <c r="F130" s="11" t="inlineStr">
        <is>
          <t>Revisão</t>
        </is>
      </c>
      <c r="G130" s="11" t="inlineStr">
        <is>
          <t>Alta</t>
        </is>
      </c>
      <c r="H130" s="11" t="inlineStr">
        <is>
          <t>-</t>
        </is>
      </c>
      <c r="I130" s="11" t="inlineStr">
        <is>
          <t>Não</t>
        </is>
      </c>
      <c r="J130" s="11" t="n">
        <v>0</v>
      </c>
      <c r="K130" s="11" t="inlineStr">
        <is>
          <t>Não</t>
        </is>
      </c>
      <c r="L130" s="11" t="n">
        <v>0</v>
      </c>
      <c r="M130" s="11" t="n">
        <v>0</v>
      </c>
      <c r="N130" s="13">
        <f>IFERROR(M130/L130,"")</f>
        <v/>
      </c>
    </row>
    <row r="131">
      <c r="A131" s="23" t="n">
        <v>46280</v>
      </c>
      <c r="B131" s="15" t="inlineStr">
        <is>
          <t>Terça</t>
        </is>
      </c>
      <c r="C131" s="15" t="inlineStr">
        <is>
          <t>Revisão (semana 1)</t>
        </is>
      </c>
      <c r="D131" s="16" t="inlineStr">
        <is>
          <t>Legislação Institucional</t>
        </is>
      </c>
      <c r="E131" s="16" t="inlineStr">
        <is>
          <t>Revisão geral + questões (reforço final)</t>
        </is>
      </c>
      <c r="F131" s="15" t="inlineStr">
        <is>
          <t>Revisão</t>
        </is>
      </c>
      <c r="G131" s="15" t="inlineStr">
        <is>
          <t>Alta</t>
        </is>
      </c>
      <c r="H131" s="15" t="inlineStr">
        <is>
          <t>-</t>
        </is>
      </c>
      <c r="I131" s="15" t="inlineStr">
        <is>
          <t>Não</t>
        </is>
      </c>
      <c r="J131" s="15" t="n">
        <v>0</v>
      </c>
      <c r="K131" s="15" t="inlineStr">
        <is>
          <t>Não</t>
        </is>
      </c>
      <c r="L131" s="15" t="n">
        <v>0</v>
      </c>
      <c r="M131" s="15" t="n">
        <v>0</v>
      </c>
      <c r="N131" s="17">
        <f>IFERROR(M131/L131,"")</f>
        <v/>
      </c>
    </row>
    <row r="132">
      <c r="A132" s="22" t="n">
        <v>46281</v>
      </c>
      <c r="B132" s="11" t="inlineStr">
        <is>
          <t>Quarta</t>
        </is>
      </c>
      <c r="C132" s="11" t="inlineStr">
        <is>
          <t>Revisão (semana 1)</t>
        </is>
      </c>
      <c r="D132" s="12" t="inlineStr">
        <is>
          <t>História do Brasil</t>
        </is>
      </c>
      <c r="E132" s="12" t="inlineStr">
        <is>
          <t>Revisão geral + questões (reforço final)</t>
        </is>
      </c>
      <c r="F132" s="11" t="inlineStr">
        <is>
          <t>Revisão</t>
        </is>
      </c>
      <c r="G132" s="11" t="inlineStr">
        <is>
          <t>Alta</t>
        </is>
      </c>
      <c r="H132" s="11" t="inlineStr">
        <is>
          <t>-</t>
        </is>
      </c>
      <c r="I132" s="11" t="inlineStr">
        <is>
          <t>Não</t>
        </is>
      </c>
      <c r="J132" s="11" t="n">
        <v>0</v>
      </c>
      <c r="K132" s="11" t="inlineStr">
        <is>
          <t>Não</t>
        </is>
      </c>
      <c r="L132" s="11" t="n">
        <v>0</v>
      </c>
      <c r="M132" s="11" t="n">
        <v>0</v>
      </c>
      <c r="N132" s="13">
        <f>IFERROR(M132/L132,"")</f>
        <v/>
      </c>
    </row>
    <row r="133">
      <c r="A133" s="23" t="n">
        <v>46282</v>
      </c>
      <c r="B133" s="15" t="inlineStr">
        <is>
          <t>Quinta</t>
        </is>
      </c>
      <c r="C133" s="15" t="inlineStr">
        <is>
          <t>Revisão (semana 1)</t>
        </is>
      </c>
      <c r="D133" s="16" t="inlineStr">
        <is>
          <t>História do Maranhão</t>
        </is>
      </c>
      <c r="E133" s="16" t="inlineStr">
        <is>
          <t>Revisão geral + questões (reforço final)</t>
        </is>
      </c>
      <c r="F133" s="15" t="inlineStr">
        <is>
          <t>Revisão</t>
        </is>
      </c>
      <c r="G133" s="15" t="inlineStr">
        <is>
          <t>Alta</t>
        </is>
      </c>
      <c r="H133" s="15" t="inlineStr">
        <is>
          <t>-</t>
        </is>
      </c>
      <c r="I133" s="15" t="inlineStr">
        <is>
          <t>Não</t>
        </is>
      </c>
      <c r="J133" s="15" t="n">
        <v>0</v>
      </c>
      <c r="K133" s="15" t="inlineStr">
        <is>
          <t>Não</t>
        </is>
      </c>
      <c r="L133" s="15" t="n">
        <v>0</v>
      </c>
      <c r="M133" s="15" t="n">
        <v>0</v>
      </c>
      <c r="N133" s="17">
        <f>IFERROR(M133/L133,"")</f>
        <v/>
      </c>
    </row>
    <row r="134">
      <c r="A134" s="22" t="n">
        <v>46283</v>
      </c>
      <c r="B134" s="11" t="inlineStr">
        <is>
          <t>Sexta</t>
        </is>
      </c>
      <c r="C134" s="11" t="inlineStr">
        <is>
          <t>Revisão (semana 1)</t>
        </is>
      </c>
      <c r="D134" s="12" t="inlineStr">
        <is>
          <t>Geografia do Brasil</t>
        </is>
      </c>
      <c r="E134" s="12" t="inlineStr">
        <is>
          <t>Revisão geral + questões (reforço final)</t>
        </is>
      </c>
      <c r="F134" s="11" t="inlineStr">
        <is>
          <t>Revisão</t>
        </is>
      </c>
      <c r="G134" s="11" t="inlineStr">
        <is>
          <t>Alta</t>
        </is>
      </c>
      <c r="H134" s="11" t="inlineStr">
        <is>
          <t>-</t>
        </is>
      </c>
      <c r="I134" s="11" t="inlineStr">
        <is>
          <t>Não</t>
        </is>
      </c>
      <c r="J134" s="11" t="n">
        <v>0</v>
      </c>
      <c r="K134" s="11" t="inlineStr">
        <is>
          <t>Não</t>
        </is>
      </c>
      <c r="L134" s="11" t="n">
        <v>0</v>
      </c>
      <c r="M134" s="11" t="n">
        <v>0</v>
      </c>
      <c r="N134" s="13">
        <f>IFERROR(M134/L134,"")</f>
        <v/>
      </c>
    </row>
    <row r="135">
      <c r="A135" s="23" t="n">
        <v>46284</v>
      </c>
      <c r="B135" s="15" t="inlineStr">
        <is>
          <t>Sábado</t>
        </is>
      </c>
      <c r="C135" s="15" t="inlineStr">
        <is>
          <t>Revisão (semana 1)</t>
        </is>
      </c>
      <c r="D135" s="16" t="inlineStr">
        <is>
          <t>Simulado Geral</t>
        </is>
      </c>
      <c r="E135" s="16" t="inlineStr">
        <is>
          <t>Simulado completo (ver aba Simulado Semanal)</t>
        </is>
      </c>
      <c r="F135" s="15" t="inlineStr">
        <is>
          <t>Simulado</t>
        </is>
      </c>
      <c r="G135" s="15" t="inlineStr">
        <is>
          <t>-</t>
        </is>
      </c>
      <c r="H135" s="15" t="inlineStr">
        <is>
          <t>-</t>
        </is>
      </c>
      <c r="I135" s="15" t="inlineStr">
        <is>
          <t>Não</t>
        </is>
      </c>
      <c r="J135" s="15" t="n">
        <v>0</v>
      </c>
      <c r="K135" s="15" t="inlineStr">
        <is>
          <t>Não</t>
        </is>
      </c>
      <c r="L135" s="15" t="n">
        <v>0</v>
      </c>
      <c r="M135" s="15" t="n">
        <v>0</v>
      </c>
      <c r="N135" s="17">
        <f>IFERROR(M135/L135,"")</f>
        <v/>
      </c>
    </row>
    <row r="136">
      <c r="A136" s="22" t="n">
        <v>46285</v>
      </c>
      <c r="B136" s="11" t="inlineStr">
        <is>
          <t>Domingo</t>
        </is>
      </c>
      <c r="C136" s="11" t="inlineStr">
        <is>
          <t>Revisão (semana 1)</t>
        </is>
      </c>
      <c r="D136" s="12" t="inlineStr">
        <is>
          <t>TAF</t>
        </is>
      </c>
      <c r="E136" s="12" t="inlineStr">
        <is>
          <t>Teste/treino físico (ver aba TAF Semanal)</t>
        </is>
      </c>
      <c r="F136" s="11" t="inlineStr">
        <is>
          <t>TAF</t>
        </is>
      </c>
      <c r="G136" s="11" t="inlineStr">
        <is>
          <t>-</t>
        </is>
      </c>
      <c r="H136" s="11" t="inlineStr">
        <is>
          <t>-</t>
        </is>
      </c>
      <c r="I136" s="11" t="inlineStr">
        <is>
          <t>Não</t>
        </is>
      </c>
      <c r="J136" s="11" t="n">
        <v>0</v>
      </c>
      <c r="K136" s="11" t="inlineStr">
        <is>
          <t>Não</t>
        </is>
      </c>
      <c r="L136" s="11" t="n">
        <v>0</v>
      </c>
      <c r="M136" s="11" t="n">
        <v>0</v>
      </c>
      <c r="N136" s="13">
        <f>IFERROR(M136/L136,"")</f>
        <v/>
      </c>
    </row>
    <row r="137">
      <c r="A137" s="23" t="n">
        <v>46286</v>
      </c>
      <c r="B137" s="15" t="inlineStr">
        <is>
          <t>Segunda</t>
        </is>
      </c>
      <c r="C137" s="15" t="inlineStr">
        <is>
          <t>Revisão (semana 2)</t>
        </is>
      </c>
      <c r="D137" s="16" t="inlineStr">
        <is>
          <t>Língua Portuguesa</t>
        </is>
      </c>
      <c r="E137" s="16" t="inlineStr">
        <is>
          <t>Revisão geral + questões (reforço final)</t>
        </is>
      </c>
      <c r="F137" s="15" t="inlineStr">
        <is>
          <t>Revisão</t>
        </is>
      </c>
      <c r="G137" s="15" t="inlineStr">
        <is>
          <t>Alta</t>
        </is>
      </c>
      <c r="H137" s="15" t="inlineStr">
        <is>
          <t>-</t>
        </is>
      </c>
      <c r="I137" s="15" t="inlineStr">
        <is>
          <t>Não</t>
        </is>
      </c>
      <c r="J137" s="15" t="n">
        <v>0</v>
      </c>
      <c r="K137" s="15" t="inlineStr">
        <is>
          <t>Não</t>
        </is>
      </c>
      <c r="L137" s="15" t="n">
        <v>0</v>
      </c>
      <c r="M137" s="15" t="n">
        <v>0</v>
      </c>
      <c r="N137" s="17">
        <f>IFERROR(M137/L137,"")</f>
        <v/>
      </c>
    </row>
    <row r="138">
      <c r="A138" s="22" t="n">
        <v>46287</v>
      </c>
      <c r="B138" s="11" t="inlineStr">
        <is>
          <t>Terça</t>
        </is>
      </c>
      <c r="C138" s="11" t="inlineStr">
        <is>
          <t>Revisão (semana 2)</t>
        </is>
      </c>
      <c r="D138" s="12" t="inlineStr">
        <is>
          <t>Legislação Institucional</t>
        </is>
      </c>
      <c r="E138" s="12" t="inlineStr">
        <is>
          <t>Revisão geral + questões (reforço final)</t>
        </is>
      </c>
      <c r="F138" s="11" t="inlineStr">
        <is>
          <t>Revisão</t>
        </is>
      </c>
      <c r="G138" s="11" t="inlineStr">
        <is>
          <t>Alta</t>
        </is>
      </c>
      <c r="H138" s="11" t="inlineStr">
        <is>
          <t>-</t>
        </is>
      </c>
      <c r="I138" s="11" t="inlineStr">
        <is>
          <t>Não</t>
        </is>
      </c>
      <c r="J138" s="11" t="n">
        <v>0</v>
      </c>
      <c r="K138" s="11" t="inlineStr">
        <is>
          <t>Não</t>
        </is>
      </c>
      <c r="L138" s="11" t="n">
        <v>0</v>
      </c>
      <c r="M138" s="11" t="n">
        <v>0</v>
      </c>
      <c r="N138" s="13">
        <f>IFERROR(M138/L138,"")</f>
        <v/>
      </c>
    </row>
    <row r="139">
      <c r="A139" s="23" t="n">
        <v>46288</v>
      </c>
      <c r="B139" s="15" t="inlineStr">
        <is>
          <t>Quarta</t>
        </is>
      </c>
      <c r="C139" s="15" t="inlineStr">
        <is>
          <t>Revisão (semana 2)</t>
        </is>
      </c>
      <c r="D139" s="16" t="inlineStr">
        <is>
          <t>História do Brasil</t>
        </is>
      </c>
      <c r="E139" s="16" t="inlineStr">
        <is>
          <t>Revisão geral + questões (reforço final)</t>
        </is>
      </c>
      <c r="F139" s="15" t="inlineStr">
        <is>
          <t>Revisão</t>
        </is>
      </c>
      <c r="G139" s="15" t="inlineStr">
        <is>
          <t>Alta</t>
        </is>
      </c>
      <c r="H139" s="15" t="inlineStr">
        <is>
          <t>-</t>
        </is>
      </c>
      <c r="I139" s="15" t="inlineStr">
        <is>
          <t>Não</t>
        </is>
      </c>
      <c r="J139" s="15" t="n">
        <v>0</v>
      </c>
      <c r="K139" s="15" t="inlineStr">
        <is>
          <t>Não</t>
        </is>
      </c>
      <c r="L139" s="15" t="n">
        <v>0</v>
      </c>
      <c r="M139" s="15" t="n">
        <v>0</v>
      </c>
      <c r="N139" s="17">
        <f>IFERROR(M139/L139,"")</f>
        <v/>
      </c>
    </row>
    <row r="140">
      <c r="A140" s="22" t="n">
        <v>46289</v>
      </c>
      <c r="B140" s="11" t="inlineStr">
        <is>
          <t>Quinta</t>
        </is>
      </c>
      <c r="C140" s="11" t="inlineStr">
        <is>
          <t>Revisão (semana 2)</t>
        </is>
      </c>
      <c r="D140" s="12" t="inlineStr">
        <is>
          <t>História do Maranhão</t>
        </is>
      </c>
      <c r="E140" s="12" t="inlineStr">
        <is>
          <t>Revisão geral + questões (reforço final)</t>
        </is>
      </c>
      <c r="F140" s="11" t="inlineStr">
        <is>
          <t>Revisão</t>
        </is>
      </c>
      <c r="G140" s="11" t="inlineStr">
        <is>
          <t>Alta</t>
        </is>
      </c>
      <c r="H140" s="11" t="inlineStr">
        <is>
          <t>-</t>
        </is>
      </c>
      <c r="I140" s="11" t="inlineStr">
        <is>
          <t>Não</t>
        </is>
      </c>
      <c r="J140" s="11" t="n">
        <v>0</v>
      </c>
      <c r="K140" s="11" t="inlineStr">
        <is>
          <t>Não</t>
        </is>
      </c>
      <c r="L140" s="11" t="n">
        <v>0</v>
      </c>
      <c r="M140" s="11" t="n">
        <v>0</v>
      </c>
      <c r="N140" s="13">
        <f>IFERROR(M140/L140,"")</f>
        <v/>
      </c>
    </row>
    <row r="141">
      <c r="A141" s="23" t="n">
        <v>46290</v>
      </c>
      <c r="B141" s="15" t="inlineStr">
        <is>
          <t>Sexta</t>
        </is>
      </c>
      <c r="C141" s="15" t="inlineStr">
        <is>
          <t>Revisão (semana 2)</t>
        </is>
      </c>
      <c r="D141" s="16" t="inlineStr">
        <is>
          <t>Geografia do Brasil</t>
        </is>
      </c>
      <c r="E141" s="16" t="inlineStr">
        <is>
          <t>Revisão geral + questões (reforço final)</t>
        </is>
      </c>
      <c r="F141" s="15" t="inlineStr">
        <is>
          <t>Revisão</t>
        </is>
      </c>
      <c r="G141" s="15" t="inlineStr">
        <is>
          <t>Alta</t>
        </is>
      </c>
      <c r="H141" s="15" t="inlineStr">
        <is>
          <t>-</t>
        </is>
      </c>
      <c r="I141" s="15" t="inlineStr">
        <is>
          <t>Não</t>
        </is>
      </c>
      <c r="J141" s="15" t="n">
        <v>0</v>
      </c>
      <c r="K141" s="15" t="inlineStr">
        <is>
          <t>Não</t>
        </is>
      </c>
      <c r="L141" s="15" t="n">
        <v>0</v>
      </c>
      <c r="M141" s="15" t="n">
        <v>0</v>
      </c>
      <c r="N141" s="17">
        <f>IFERROR(M141/L141,"")</f>
        <v/>
      </c>
    </row>
    <row r="142">
      <c r="A142" s="22" t="n">
        <v>46291</v>
      </c>
      <c r="B142" s="11" t="inlineStr">
        <is>
          <t>Sábado</t>
        </is>
      </c>
      <c r="C142" s="11" t="inlineStr">
        <is>
          <t>Revisão (semana 2)</t>
        </is>
      </c>
      <c r="D142" s="12" t="inlineStr">
        <is>
          <t>Simulado Geral</t>
        </is>
      </c>
      <c r="E142" s="12" t="inlineStr">
        <is>
          <t>Simulado completo (ver aba Simulado Semanal)</t>
        </is>
      </c>
      <c r="F142" s="11" t="inlineStr">
        <is>
          <t>Simulado</t>
        </is>
      </c>
      <c r="G142" s="11" t="inlineStr">
        <is>
          <t>-</t>
        </is>
      </c>
      <c r="H142" s="11" t="inlineStr">
        <is>
          <t>-</t>
        </is>
      </c>
      <c r="I142" s="11" t="inlineStr">
        <is>
          <t>Não</t>
        </is>
      </c>
      <c r="J142" s="11" t="n">
        <v>0</v>
      </c>
      <c r="K142" s="11" t="inlineStr">
        <is>
          <t>Não</t>
        </is>
      </c>
      <c r="L142" s="11" t="n">
        <v>0</v>
      </c>
      <c r="M142" s="11" t="n">
        <v>0</v>
      </c>
      <c r="N142" s="13">
        <f>IFERROR(M142/L142,"")</f>
        <v/>
      </c>
    </row>
    <row r="143">
      <c r="A143" s="23" t="n">
        <v>46292</v>
      </c>
      <c r="B143" s="15" t="inlineStr">
        <is>
          <t>Domingo</t>
        </is>
      </c>
      <c r="C143" s="15" t="inlineStr">
        <is>
          <t>Revisão (semana 2)</t>
        </is>
      </c>
      <c r="D143" s="16" t="inlineStr">
        <is>
          <t>TAF</t>
        </is>
      </c>
      <c r="E143" s="16" t="inlineStr">
        <is>
          <t>Teste/treino físico (ver aba TAF Semanal)</t>
        </is>
      </c>
      <c r="F143" s="15" t="inlineStr">
        <is>
          <t>TAF</t>
        </is>
      </c>
      <c r="G143" s="15" t="inlineStr">
        <is>
          <t>-</t>
        </is>
      </c>
      <c r="H143" s="15" t="inlineStr">
        <is>
          <t>-</t>
        </is>
      </c>
      <c r="I143" s="15" t="inlineStr">
        <is>
          <t>Não</t>
        </is>
      </c>
      <c r="J143" s="15" t="n">
        <v>0</v>
      </c>
      <c r="K143" s="15" t="inlineStr">
        <is>
          <t>Não</t>
        </is>
      </c>
      <c r="L143" s="15" t="n">
        <v>0</v>
      </c>
      <c r="M143" s="15" t="n">
        <v>0</v>
      </c>
      <c r="N143" s="17">
        <f>IFERROR(M143/L143,"")</f>
        <v/>
      </c>
    </row>
    <row r="144">
      <c r="A144" s="22" t="n">
        <v>46293</v>
      </c>
      <c r="B144" s="11" t="inlineStr">
        <is>
          <t>Segunda</t>
        </is>
      </c>
      <c r="C144" s="11" t="inlineStr">
        <is>
          <t>Revisão (semana 3)</t>
        </is>
      </c>
      <c r="D144" s="12" t="inlineStr">
        <is>
          <t>Língua Portuguesa</t>
        </is>
      </c>
      <c r="E144" s="12" t="inlineStr">
        <is>
          <t>Revisão geral + questões (reforço final)</t>
        </is>
      </c>
      <c r="F144" s="11" t="inlineStr">
        <is>
          <t>Revisão</t>
        </is>
      </c>
      <c r="G144" s="11" t="inlineStr">
        <is>
          <t>Alta</t>
        </is>
      </c>
      <c r="H144" s="11" t="inlineStr">
        <is>
          <t>-</t>
        </is>
      </c>
      <c r="I144" s="11" t="inlineStr">
        <is>
          <t>Não</t>
        </is>
      </c>
      <c r="J144" s="11" t="n">
        <v>0</v>
      </c>
      <c r="K144" s="11" t="inlineStr">
        <is>
          <t>Não</t>
        </is>
      </c>
      <c r="L144" s="11" t="n">
        <v>0</v>
      </c>
      <c r="M144" s="11" t="n">
        <v>0</v>
      </c>
      <c r="N144" s="13">
        <f>IFERROR(M144/L144,"")</f>
        <v/>
      </c>
    </row>
    <row r="145">
      <c r="A145" s="23" t="n">
        <v>46294</v>
      </c>
      <c r="B145" s="15" t="inlineStr">
        <is>
          <t>Terça</t>
        </is>
      </c>
      <c r="C145" s="15" t="inlineStr">
        <is>
          <t>Revisão (semana 3)</t>
        </is>
      </c>
      <c r="D145" s="16" t="inlineStr">
        <is>
          <t>Legislação Institucional</t>
        </is>
      </c>
      <c r="E145" s="16" t="inlineStr">
        <is>
          <t>Revisão geral + questões (reforço final)</t>
        </is>
      </c>
      <c r="F145" s="15" t="inlineStr">
        <is>
          <t>Revisão</t>
        </is>
      </c>
      <c r="G145" s="15" t="inlineStr">
        <is>
          <t>Alta</t>
        </is>
      </c>
      <c r="H145" s="15" t="inlineStr">
        <is>
          <t>-</t>
        </is>
      </c>
      <c r="I145" s="15" t="inlineStr">
        <is>
          <t>Não</t>
        </is>
      </c>
      <c r="J145" s="15" t="n">
        <v>0</v>
      </c>
      <c r="K145" s="15" t="inlineStr">
        <is>
          <t>Não</t>
        </is>
      </c>
      <c r="L145" s="15" t="n">
        <v>0</v>
      </c>
      <c r="M145" s="15" t="n">
        <v>0</v>
      </c>
      <c r="N145" s="17">
        <f>IFERROR(M145/L145,"")</f>
        <v/>
      </c>
    </row>
    <row r="146">
      <c r="A146" s="22" t="n">
        <v>46295</v>
      </c>
      <c r="B146" s="11" t="inlineStr">
        <is>
          <t>Quarta</t>
        </is>
      </c>
      <c r="C146" s="11" t="inlineStr">
        <is>
          <t>Revisão (semana 3)</t>
        </is>
      </c>
      <c r="D146" s="12" t="inlineStr">
        <is>
          <t>História do Brasil</t>
        </is>
      </c>
      <c r="E146" s="12" t="inlineStr">
        <is>
          <t>Revisão geral + questões (reforço final)</t>
        </is>
      </c>
      <c r="F146" s="11" t="inlineStr">
        <is>
          <t>Revisão</t>
        </is>
      </c>
      <c r="G146" s="11" t="inlineStr">
        <is>
          <t>Alta</t>
        </is>
      </c>
      <c r="H146" s="11" t="inlineStr">
        <is>
          <t>-</t>
        </is>
      </c>
      <c r="I146" s="11" t="inlineStr">
        <is>
          <t>Não</t>
        </is>
      </c>
      <c r="J146" s="11" t="n">
        <v>0</v>
      </c>
      <c r="K146" s="11" t="inlineStr">
        <is>
          <t>Não</t>
        </is>
      </c>
      <c r="L146" s="11" t="n">
        <v>0</v>
      </c>
      <c r="M146" s="11" t="n">
        <v>0</v>
      </c>
      <c r="N146" s="13">
        <f>IFERROR(M146/L146,"")</f>
        <v/>
      </c>
    </row>
    <row r="147">
      <c r="A147" s="23" t="n">
        <v>46296</v>
      </c>
      <c r="B147" s="15" t="inlineStr">
        <is>
          <t>Quinta</t>
        </is>
      </c>
      <c r="C147" s="15" t="inlineStr">
        <is>
          <t>Revisão (semana 3)</t>
        </is>
      </c>
      <c r="D147" s="16" t="inlineStr">
        <is>
          <t>História do Maranhão</t>
        </is>
      </c>
      <c r="E147" s="16" t="inlineStr">
        <is>
          <t>Revisão geral + questões (reforço final)</t>
        </is>
      </c>
      <c r="F147" s="15" t="inlineStr">
        <is>
          <t>Revisão</t>
        </is>
      </c>
      <c r="G147" s="15" t="inlineStr">
        <is>
          <t>Alta</t>
        </is>
      </c>
      <c r="H147" s="15" t="inlineStr">
        <is>
          <t>-</t>
        </is>
      </c>
      <c r="I147" s="15" t="inlineStr">
        <is>
          <t>Não</t>
        </is>
      </c>
      <c r="J147" s="15" t="n">
        <v>0</v>
      </c>
      <c r="K147" s="15" t="inlineStr">
        <is>
          <t>Não</t>
        </is>
      </c>
      <c r="L147" s="15" t="n">
        <v>0</v>
      </c>
      <c r="M147" s="15" t="n">
        <v>0</v>
      </c>
      <c r="N147" s="17">
        <f>IFERROR(M147/L147,"")</f>
        <v/>
      </c>
    </row>
    <row r="148">
      <c r="A148" s="22" t="n">
        <v>46297</v>
      </c>
      <c r="B148" s="11" t="inlineStr">
        <is>
          <t>Sexta</t>
        </is>
      </c>
      <c r="C148" s="11" t="inlineStr">
        <is>
          <t>Revisão (semana 3)</t>
        </is>
      </c>
      <c r="D148" s="12" t="inlineStr">
        <is>
          <t>Geografia do Brasil</t>
        </is>
      </c>
      <c r="E148" s="12" t="inlineStr">
        <is>
          <t>Revisão geral + questões (reforço final)</t>
        </is>
      </c>
      <c r="F148" s="11" t="inlineStr">
        <is>
          <t>Revisão</t>
        </is>
      </c>
      <c r="G148" s="11" t="inlineStr">
        <is>
          <t>Alta</t>
        </is>
      </c>
      <c r="H148" s="11" t="inlineStr">
        <is>
          <t>-</t>
        </is>
      </c>
      <c r="I148" s="11" t="inlineStr">
        <is>
          <t>Não</t>
        </is>
      </c>
      <c r="J148" s="11" t="n">
        <v>0</v>
      </c>
      <c r="K148" s="11" t="inlineStr">
        <is>
          <t>Não</t>
        </is>
      </c>
      <c r="L148" s="11" t="n">
        <v>0</v>
      </c>
      <c r="M148" s="11" t="n">
        <v>0</v>
      </c>
      <c r="N148" s="13">
        <f>IFERROR(M148/L148,"")</f>
        <v/>
      </c>
    </row>
    <row r="149">
      <c r="A149" s="23" t="n">
        <v>46298</v>
      </c>
      <c r="B149" s="15" t="inlineStr">
        <is>
          <t>Sábado</t>
        </is>
      </c>
      <c r="C149" s="15" t="inlineStr">
        <is>
          <t>Revisão (semana 3)</t>
        </is>
      </c>
      <c r="D149" s="16" t="inlineStr">
        <is>
          <t>Simulado Geral</t>
        </is>
      </c>
      <c r="E149" s="16" t="inlineStr">
        <is>
          <t>Simulado completo (ver aba Simulado Semanal)</t>
        </is>
      </c>
      <c r="F149" s="15" t="inlineStr">
        <is>
          <t>Simulado</t>
        </is>
      </c>
      <c r="G149" s="15" t="inlineStr">
        <is>
          <t>-</t>
        </is>
      </c>
      <c r="H149" s="15" t="inlineStr">
        <is>
          <t>-</t>
        </is>
      </c>
      <c r="I149" s="15" t="inlineStr">
        <is>
          <t>Não</t>
        </is>
      </c>
      <c r="J149" s="15" t="n">
        <v>0</v>
      </c>
      <c r="K149" s="15" t="inlineStr">
        <is>
          <t>Não</t>
        </is>
      </c>
      <c r="L149" s="15" t="n">
        <v>0</v>
      </c>
      <c r="M149" s="15" t="n">
        <v>0</v>
      </c>
      <c r="N149" s="17">
        <f>IFERROR(M149/L149,"")</f>
        <v/>
      </c>
    </row>
    <row r="150">
      <c r="A150" s="22" t="n">
        <v>46299</v>
      </c>
      <c r="B150" s="11" t="inlineStr">
        <is>
          <t>Domingo</t>
        </is>
      </c>
      <c r="C150" s="11" t="inlineStr">
        <is>
          <t>Revisão (semana 3)</t>
        </is>
      </c>
      <c r="D150" s="12" t="inlineStr">
        <is>
          <t>TAF</t>
        </is>
      </c>
      <c r="E150" s="12" t="inlineStr">
        <is>
          <t>Teste/treino físico (ver aba TAF Semanal)</t>
        </is>
      </c>
      <c r="F150" s="11" t="inlineStr">
        <is>
          <t>TAF</t>
        </is>
      </c>
      <c r="G150" s="11" t="inlineStr">
        <is>
          <t>-</t>
        </is>
      </c>
      <c r="H150" s="11" t="inlineStr">
        <is>
          <t>-</t>
        </is>
      </c>
      <c r="I150" s="11" t="inlineStr">
        <is>
          <t>Não</t>
        </is>
      </c>
      <c r="J150" s="11" t="n">
        <v>0</v>
      </c>
      <c r="K150" s="11" t="inlineStr">
        <is>
          <t>Não</t>
        </is>
      </c>
      <c r="L150" s="11" t="n">
        <v>0</v>
      </c>
      <c r="M150" s="11" t="n">
        <v>0</v>
      </c>
      <c r="N150" s="13">
        <f>IFERROR(M150/L150,"")</f>
        <v/>
      </c>
    </row>
    <row r="151">
      <c r="A151" s="23" t="n">
        <v>46300</v>
      </c>
      <c r="B151" s="15" t="inlineStr">
        <is>
          <t>Segunda</t>
        </is>
      </c>
      <c r="C151" s="15" t="inlineStr">
        <is>
          <t>Revisão (semana 4)</t>
        </is>
      </c>
      <c r="D151" s="16" t="inlineStr">
        <is>
          <t>Língua Portuguesa</t>
        </is>
      </c>
      <c r="E151" s="16" t="inlineStr">
        <is>
          <t>Revisão geral + questões (reforço final)</t>
        </is>
      </c>
      <c r="F151" s="15" t="inlineStr">
        <is>
          <t>Revisão</t>
        </is>
      </c>
      <c r="G151" s="15" t="inlineStr">
        <is>
          <t>Alta</t>
        </is>
      </c>
      <c r="H151" s="15" t="inlineStr">
        <is>
          <t>-</t>
        </is>
      </c>
      <c r="I151" s="15" t="inlineStr">
        <is>
          <t>Não</t>
        </is>
      </c>
      <c r="J151" s="15" t="n">
        <v>0</v>
      </c>
      <c r="K151" s="15" t="inlineStr">
        <is>
          <t>Não</t>
        </is>
      </c>
      <c r="L151" s="15" t="n">
        <v>0</v>
      </c>
      <c r="M151" s="15" t="n">
        <v>0</v>
      </c>
      <c r="N151" s="17">
        <f>IFERROR(M151/L151,"")</f>
        <v/>
      </c>
    </row>
    <row r="152">
      <c r="A152" s="22" t="n">
        <v>46301</v>
      </c>
      <c r="B152" s="11" t="inlineStr">
        <is>
          <t>Terça</t>
        </is>
      </c>
      <c r="C152" s="11" t="inlineStr">
        <is>
          <t>Revisão (semana 4)</t>
        </is>
      </c>
      <c r="D152" s="12" t="inlineStr">
        <is>
          <t>Legislação Institucional</t>
        </is>
      </c>
      <c r="E152" s="12" t="inlineStr">
        <is>
          <t>Revisão geral + questões (reforço final)</t>
        </is>
      </c>
      <c r="F152" s="11" t="inlineStr">
        <is>
          <t>Revisão</t>
        </is>
      </c>
      <c r="G152" s="11" t="inlineStr">
        <is>
          <t>Alta</t>
        </is>
      </c>
      <c r="H152" s="11" t="inlineStr">
        <is>
          <t>-</t>
        </is>
      </c>
      <c r="I152" s="11" t="inlineStr">
        <is>
          <t>Não</t>
        </is>
      </c>
      <c r="J152" s="11" t="n">
        <v>0</v>
      </c>
      <c r="K152" s="11" t="inlineStr">
        <is>
          <t>Não</t>
        </is>
      </c>
      <c r="L152" s="11" t="n">
        <v>0</v>
      </c>
      <c r="M152" s="11" t="n">
        <v>0</v>
      </c>
      <c r="N152" s="13">
        <f>IFERROR(M152/L152,"")</f>
        <v/>
      </c>
    </row>
    <row r="153">
      <c r="A153" s="23" t="n">
        <v>46302</v>
      </c>
      <c r="B153" s="15" t="inlineStr">
        <is>
          <t>Quarta</t>
        </is>
      </c>
      <c r="C153" s="15" t="inlineStr">
        <is>
          <t>Revisão (semana 4)</t>
        </is>
      </c>
      <c r="D153" s="16" t="inlineStr">
        <is>
          <t>História do Brasil</t>
        </is>
      </c>
      <c r="E153" s="16" t="inlineStr">
        <is>
          <t>Revisão geral + questões (reforço final)</t>
        </is>
      </c>
      <c r="F153" s="15" t="inlineStr">
        <is>
          <t>Revisão</t>
        </is>
      </c>
      <c r="G153" s="15" t="inlineStr">
        <is>
          <t>Alta</t>
        </is>
      </c>
      <c r="H153" s="15" t="inlineStr">
        <is>
          <t>-</t>
        </is>
      </c>
      <c r="I153" s="15" t="inlineStr">
        <is>
          <t>Não</t>
        </is>
      </c>
      <c r="J153" s="15" t="n">
        <v>0</v>
      </c>
      <c r="K153" s="15" t="inlineStr">
        <is>
          <t>Não</t>
        </is>
      </c>
      <c r="L153" s="15" t="n">
        <v>0</v>
      </c>
      <c r="M153" s="15" t="n">
        <v>0</v>
      </c>
      <c r="N153" s="17">
        <f>IFERROR(M153/L153,"")</f>
        <v/>
      </c>
    </row>
    <row r="154">
      <c r="A154" s="22" t="n">
        <v>46303</v>
      </c>
      <c r="B154" s="11" t="inlineStr">
        <is>
          <t>Quinta</t>
        </is>
      </c>
      <c r="C154" s="11" t="inlineStr">
        <is>
          <t>Revisão (semana 4)</t>
        </is>
      </c>
      <c r="D154" s="12" t="inlineStr">
        <is>
          <t>História do Maranhão</t>
        </is>
      </c>
      <c r="E154" s="12" t="inlineStr">
        <is>
          <t>Revisão geral + questões (reforço final)</t>
        </is>
      </c>
      <c r="F154" s="11" t="inlineStr">
        <is>
          <t>Revisão</t>
        </is>
      </c>
      <c r="G154" s="11" t="inlineStr">
        <is>
          <t>Alta</t>
        </is>
      </c>
      <c r="H154" s="11" t="inlineStr">
        <is>
          <t>-</t>
        </is>
      </c>
      <c r="I154" s="11" t="inlineStr">
        <is>
          <t>Não</t>
        </is>
      </c>
      <c r="J154" s="11" t="n">
        <v>0</v>
      </c>
      <c r="K154" s="11" t="inlineStr">
        <is>
          <t>Não</t>
        </is>
      </c>
      <c r="L154" s="11" t="n">
        <v>0</v>
      </c>
      <c r="M154" s="11" t="n">
        <v>0</v>
      </c>
      <c r="N154" s="13">
        <f>IFERROR(M154/L154,"")</f>
        <v/>
      </c>
    </row>
    <row r="155">
      <c r="A155" s="23" t="n">
        <v>46304</v>
      </c>
      <c r="B155" s="15" t="inlineStr">
        <is>
          <t>Sexta</t>
        </is>
      </c>
      <c r="C155" s="15" t="inlineStr">
        <is>
          <t>Revisão (semana 4)</t>
        </is>
      </c>
      <c r="D155" s="16" t="inlineStr">
        <is>
          <t>Geografia do Brasil</t>
        </is>
      </c>
      <c r="E155" s="16" t="inlineStr">
        <is>
          <t>Revisão geral + questões (reforço final)</t>
        </is>
      </c>
      <c r="F155" s="15" t="inlineStr">
        <is>
          <t>Revisão</t>
        </is>
      </c>
      <c r="G155" s="15" t="inlineStr">
        <is>
          <t>Alta</t>
        </is>
      </c>
      <c r="H155" s="15" t="inlineStr">
        <is>
          <t>-</t>
        </is>
      </c>
      <c r="I155" s="15" t="inlineStr">
        <is>
          <t>Não</t>
        </is>
      </c>
      <c r="J155" s="15" t="n">
        <v>0</v>
      </c>
      <c r="K155" s="15" t="inlineStr">
        <is>
          <t>Não</t>
        </is>
      </c>
      <c r="L155" s="15" t="n">
        <v>0</v>
      </c>
      <c r="M155" s="15" t="n">
        <v>0</v>
      </c>
      <c r="N155" s="17">
        <f>IFERROR(M155/L155,"")</f>
        <v/>
      </c>
    </row>
    <row r="156">
      <c r="A156" s="22" t="n">
        <v>46305</v>
      </c>
      <c r="B156" s="11" t="inlineStr">
        <is>
          <t>Sábado</t>
        </is>
      </c>
      <c r="C156" s="11" t="inlineStr">
        <is>
          <t>Revisão (semana 4)</t>
        </is>
      </c>
      <c r="D156" s="12" t="inlineStr">
        <is>
          <t>Simulado Geral</t>
        </is>
      </c>
      <c r="E156" s="12" t="inlineStr">
        <is>
          <t>Simulado completo (ver aba Simulado Semanal)</t>
        </is>
      </c>
      <c r="F156" s="11" t="inlineStr">
        <is>
          <t>Simulado</t>
        </is>
      </c>
      <c r="G156" s="11" t="inlineStr">
        <is>
          <t>-</t>
        </is>
      </c>
      <c r="H156" s="11" t="inlineStr">
        <is>
          <t>-</t>
        </is>
      </c>
      <c r="I156" s="11" t="inlineStr">
        <is>
          <t>Não</t>
        </is>
      </c>
      <c r="J156" s="11" t="n">
        <v>0</v>
      </c>
      <c r="K156" s="11" t="inlineStr">
        <is>
          <t>Não</t>
        </is>
      </c>
      <c r="L156" s="11" t="n">
        <v>0</v>
      </c>
      <c r="M156" s="11" t="n">
        <v>0</v>
      </c>
      <c r="N156" s="13">
        <f>IFERROR(M156/L156,"")</f>
        <v/>
      </c>
    </row>
  </sheetData>
  <conditionalFormatting sqref="I2:I156">
    <cfRule type="cellIs" priority="1" operator="equal" dxfId="0">
      <formula>"Sim"</formula>
    </cfRule>
  </conditionalFormatting>
  <conditionalFormatting sqref="G2:G156">
    <cfRule type="cellIs" priority="2" operator="equal" dxfId="1">
      <formula>"Alta"</formula>
    </cfRule>
    <cfRule type="cellIs" priority="3" operator="equal" dxfId="2">
      <formula>"Média"</formula>
    </cfRule>
    <cfRule type="cellIs" priority="4" operator="equal" dxfId="0">
      <formula>"Baixa"</formula>
    </cfRule>
  </conditionalFormatting>
  <conditionalFormatting sqref="H2:H156">
    <cfRule type="cellIs" priority="5" operator="equal" dxfId="3">
      <formula>"🔥"</formula>
    </cfRule>
  </conditionalFormatting>
  <dataValidations count="1">
    <dataValidation sqref="I2:I156 K2:K156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  <col width="12" customWidth="1" min="4" max="4"/>
    <col width="12" customWidth="1" min="5" max="5"/>
    <col width="30" customWidth="1" min="6" max="6"/>
  </cols>
  <sheetData>
    <row r="1" ht="32" customHeight="1">
      <c r="A1" s="9" t="inlineStr">
        <is>
          <t>Matéria</t>
        </is>
      </c>
      <c r="B1" s="9" t="inlineStr">
        <is>
          <t>Tópico</t>
        </is>
      </c>
      <c r="C1" s="9" t="inlineStr">
        <is>
          <t>Status Probabilidade</t>
        </is>
      </c>
      <c r="D1" s="9" t="inlineStr">
        <is>
          <t>🔥 Tema Quente</t>
        </is>
      </c>
      <c r="E1" s="9" t="inlineStr">
        <is>
          <t>Estudado?</t>
        </is>
      </c>
      <c r="F1" s="9" t="inlineStr">
        <is>
          <t>Observações</t>
        </is>
      </c>
    </row>
    <row r="2">
      <c r="A2" s="11" t="inlineStr">
        <is>
          <t>Língua Portuguesa</t>
        </is>
      </c>
      <c r="B2" s="12" t="inlineStr">
        <is>
          <t>Interpretação e compreensão textual</t>
        </is>
      </c>
      <c r="C2" s="11" t="inlineStr">
        <is>
          <t>Alta</t>
        </is>
      </c>
      <c r="D2" s="11" t="inlineStr">
        <is>
          <t>🔥</t>
        </is>
      </c>
      <c r="E2" s="11" t="inlineStr">
        <is>
          <t>Sim</t>
        </is>
      </c>
      <c r="F2" s="11" t="inlineStr">
        <is>
          <t>Simulado / Revisão em Lote</t>
        </is>
      </c>
    </row>
    <row r="3">
      <c r="A3" s="15" t="inlineStr">
        <is>
          <t>Língua Portuguesa</t>
        </is>
      </c>
      <c r="B3" s="16" t="inlineStr">
        <is>
          <t>Reescrita de frases e parágrafos</t>
        </is>
      </c>
      <c r="C3" s="15" t="inlineStr">
        <is>
          <t>Alta</t>
        </is>
      </c>
      <c r="D3" s="15" t="inlineStr">
        <is>
          <t>🔥</t>
        </is>
      </c>
      <c r="E3" s="15" t="inlineStr">
        <is>
          <t>Sim</t>
        </is>
      </c>
      <c r="F3" s="15" t="inlineStr">
        <is>
          <t>Simulado / Revisão em Lote</t>
        </is>
      </c>
    </row>
    <row r="4">
      <c r="A4" s="11" t="inlineStr">
        <is>
          <t>Língua Portuguesa</t>
        </is>
      </c>
      <c r="B4" s="12" t="inlineStr">
        <is>
          <t>Coesão textual (referenciação, conectores)</t>
        </is>
      </c>
      <c r="C4" s="11" t="inlineStr">
        <is>
          <t>Alta</t>
        </is>
      </c>
      <c r="D4" s="11" t="inlineStr">
        <is>
          <t>🔥</t>
        </is>
      </c>
      <c r="E4" s="11" t="inlineStr">
        <is>
          <t>Sim</t>
        </is>
      </c>
      <c r="F4" s="11" t="inlineStr">
        <is>
          <t>Simulado / Revisão em Lote</t>
        </is>
      </c>
    </row>
    <row r="5">
      <c r="A5" s="15" t="inlineStr">
        <is>
          <t>Língua Portuguesa</t>
        </is>
      </c>
      <c r="B5" s="16" t="inlineStr">
        <is>
          <t>Morfossintaxe: classes de palavras</t>
        </is>
      </c>
      <c r="C5" s="15" t="inlineStr">
        <is>
          <t>Alta</t>
        </is>
      </c>
      <c r="D5" s="15" t="inlineStr">
        <is>
          <t>🔥</t>
        </is>
      </c>
      <c r="E5" s="15" t="inlineStr">
        <is>
          <t>Sim</t>
        </is>
      </c>
      <c r="F5" s="15" t="inlineStr">
        <is>
          <t>Simulado / Revisão em Lote</t>
        </is>
      </c>
    </row>
    <row r="6">
      <c r="A6" s="11" t="inlineStr">
        <is>
          <t>Língua Portuguesa</t>
        </is>
      </c>
      <c r="B6" s="12" t="inlineStr">
        <is>
          <t>Concordância verbal e nominal</t>
        </is>
      </c>
      <c r="C6" s="11" t="inlineStr">
        <is>
          <t>Alta</t>
        </is>
      </c>
      <c r="D6" s="11" t="inlineStr">
        <is>
          <t>🔥</t>
        </is>
      </c>
      <c r="E6" s="11" t="inlineStr">
        <is>
          <t>Não</t>
        </is>
      </c>
      <c r="F6" s="11" t="inlineStr"/>
    </row>
    <row r="7">
      <c r="A7" s="15" t="inlineStr">
        <is>
          <t>Língua Portuguesa</t>
        </is>
      </c>
      <c r="B7" s="16" t="inlineStr">
        <is>
          <t>Regência verbal/nominal, crase e pontuação</t>
        </is>
      </c>
      <c r="C7" s="15" t="inlineStr">
        <is>
          <t>Alta</t>
        </is>
      </c>
      <c r="D7" s="15" t="inlineStr">
        <is>
          <t>🔥</t>
        </is>
      </c>
      <c r="E7" s="15" t="inlineStr">
        <is>
          <t>Não</t>
        </is>
      </c>
      <c r="F7" s="15" t="inlineStr"/>
    </row>
    <row r="8">
      <c r="A8" s="11" t="inlineStr">
        <is>
          <t>Legislação Institucional</t>
        </is>
      </c>
      <c r="B8" s="12" t="inlineStr">
        <is>
          <t>Estatuto 6.513/95: Hierarquia, disciplina, postos e graduações</t>
        </is>
      </c>
      <c r="C8" s="11" t="inlineStr">
        <is>
          <t>Alta</t>
        </is>
      </c>
      <c r="D8" s="11" t="inlineStr">
        <is>
          <t>🔥</t>
        </is>
      </c>
      <c r="E8" s="11" t="inlineStr">
        <is>
          <t>Sim</t>
        </is>
      </c>
      <c r="F8" s="11" t="inlineStr">
        <is>
          <t>Simulado / Revisão em Lote</t>
        </is>
      </c>
    </row>
    <row r="9">
      <c r="A9" s="15" t="inlineStr">
        <is>
          <t>Legislação Institucional</t>
        </is>
      </c>
      <c r="B9" s="16" t="inlineStr">
        <is>
          <t>Estatuto 6.513/95: Direitos, deveres e ética policial-militar</t>
        </is>
      </c>
      <c r="C9" s="15" t="inlineStr">
        <is>
          <t>Alta</t>
        </is>
      </c>
      <c r="D9" s="15" t="inlineStr">
        <is>
          <t>🔥</t>
        </is>
      </c>
      <c r="E9" s="15" t="inlineStr">
        <is>
          <t>Sim</t>
        </is>
      </c>
      <c r="F9" s="15" t="inlineStr">
        <is>
          <t>Simulado / Revisão em Lote</t>
        </is>
      </c>
    </row>
    <row r="10">
      <c r="A10" s="11" t="inlineStr">
        <is>
          <t>Legislação Institucional</t>
        </is>
      </c>
      <c r="B10" s="12" t="inlineStr">
        <is>
          <t>Estatuto 6.513/95: Ingresso, carreira e situações do PM</t>
        </is>
      </c>
      <c r="C10" s="11" t="inlineStr">
        <is>
          <t>Alta</t>
        </is>
      </c>
      <c r="D10" s="11" t="inlineStr">
        <is>
          <t>🔥</t>
        </is>
      </c>
      <c r="E10" s="11" t="inlineStr">
        <is>
          <t>Sim</t>
        </is>
      </c>
      <c r="F10" s="11" t="inlineStr">
        <is>
          <t>Simulado / Revisão em Lote</t>
        </is>
      </c>
    </row>
    <row r="11">
      <c r="A11" s="15" t="inlineStr">
        <is>
          <t>Legislação Institucional</t>
        </is>
      </c>
      <c r="B11" s="16" t="inlineStr">
        <is>
          <t>Estatuto 6.513/95: Promoções (Art. 78 e 79-A)</t>
        </is>
      </c>
      <c r="C11" s="15" t="inlineStr">
        <is>
          <t>Alta</t>
        </is>
      </c>
      <c r="D11" s="15" t="inlineStr">
        <is>
          <t>-</t>
        </is>
      </c>
      <c r="E11" s="15" t="inlineStr">
        <is>
          <t>Sim</t>
        </is>
      </c>
      <c r="F11" s="15" t="inlineStr">
        <is>
          <t>Simulado / Revisão em Lote</t>
        </is>
      </c>
    </row>
    <row r="12">
      <c r="A12" s="11" t="inlineStr">
        <is>
          <t>Legislação Institucional</t>
        </is>
      </c>
      <c r="B12" s="12" t="inlineStr">
        <is>
          <t>Lei 14.751/23: Disposições gerais e competências das PMs</t>
        </is>
      </c>
      <c r="C12" s="11" t="inlineStr">
        <is>
          <t>Alta</t>
        </is>
      </c>
      <c r="D12" s="11" t="inlineStr">
        <is>
          <t>-</t>
        </is>
      </c>
      <c r="E12" s="11" t="inlineStr">
        <is>
          <t>Sim</t>
        </is>
      </c>
      <c r="F12" s="11" t="inlineStr">
        <is>
          <t>Simulado / Revisão em Lote</t>
        </is>
      </c>
    </row>
    <row r="13">
      <c r="A13" s="15" t="inlineStr">
        <is>
          <t>Legislação Institucional</t>
        </is>
      </c>
      <c r="B13" s="16" t="inlineStr">
        <is>
          <t>Lei 14.751/23: Organização (direção/apoio/execução/correição)</t>
        </is>
      </c>
      <c r="C13" s="15" t="inlineStr">
        <is>
          <t>Alta</t>
        </is>
      </c>
      <c r="D13" s="15" t="inlineStr">
        <is>
          <t>-</t>
        </is>
      </c>
      <c r="E13" s="15" t="inlineStr">
        <is>
          <t>Sim</t>
        </is>
      </c>
      <c r="F13" s="15" t="inlineStr">
        <is>
          <t>Simulado / Revisão em Lote</t>
        </is>
      </c>
    </row>
    <row r="14">
      <c r="A14" s="11" t="inlineStr">
        <is>
          <t>Legislação Institucional</t>
        </is>
      </c>
      <c r="B14" s="12" t="inlineStr">
        <is>
          <t>Lei 14.751/23: Hierarquia, quadros e efetivos</t>
        </is>
      </c>
      <c r="C14" s="11" t="inlineStr">
        <is>
          <t>Alta</t>
        </is>
      </c>
      <c r="D14" s="11" t="inlineStr">
        <is>
          <t>-</t>
        </is>
      </c>
      <c r="E14" s="11" t="inlineStr">
        <is>
          <t>Não</t>
        </is>
      </c>
      <c r="F14" s="11" t="inlineStr"/>
    </row>
    <row r="15">
      <c r="A15" s="15" t="inlineStr">
        <is>
          <t>Legislação Institucional</t>
        </is>
      </c>
      <c r="B15" s="16" t="inlineStr">
        <is>
          <t>Lei 14.751/23: Garantias dos militares</t>
        </is>
      </c>
      <c r="C15" s="15" t="inlineStr">
        <is>
          <t>Média</t>
        </is>
      </c>
      <c r="D15" s="15" t="inlineStr">
        <is>
          <t>-</t>
        </is>
      </c>
      <c r="E15" s="15" t="inlineStr">
        <is>
          <t>Não</t>
        </is>
      </c>
      <c r="F15" s="15" t="inlineStr"/>
    </row>
    <row r="16">
      <c r="A16" s="11" t="inlineStr">
        <is>
          <t>Legislação Institucional</t>
        </is>
      </c>
      <c r="B16" s="12" t="inlineStr">
        <is>
          <t>Lei 12.896/26: Natureza jurídica e competências da PMMA (Art. 1-4)</t>
        </is>
      </c>
      <c r="C16" s="11" t="inlineStr">
        <is>
          <t>Alta</t>
        </is>
      </c>
      <c r="D16" s="11" t="inlineStr">
        <is>
          <t>🔥</t>
        </is>
      </c>
      <c r="E16" s="11" t="inlineStr">
        <is>
          <t>Não</t>
        </is>
      </c>
      <c r="F16" s="11" t="inlineStr"/>
    </row>
    <row r="17">
      <c r="A17" s="15" t="inlineStr">
        <is>
          <t>Legislação Institucional</t>
        </is>
      </c>
      <c r="B17" s="16" t="inlineStr">
        <is>
          <t>Lei 12.896/26: Estrutura organizacional - 5 tipos de órgãos (Art. 5)</t>
        </is>
      </c>
      <c r="C17" s="15" t="inlineStr">
        <is>
          <t>Alta</t>
        </is>
      </c>
      <c r="D17" s="15" t="inlineStr">
        <is>
          <t>🔥</t>
        </is>
      </c>
      <c r="E17" s="15" t="inlineStr">
        <is>
          <t>Não</t>
        </is>
      </c>
      <c r="F17" s="15" t="inlineStr"/>
    </row>
    <row r="18">
      <c r="A18" s="11" t="inlineStr">
        <is>
          <t>Legislação Institucional</t>
        </is>
      </c>
      <c r="B18" s="12" t="inlineStr">
        <is>
          <t>Lei 12.896/26: Hierarquia militar e efetivo (Art. 89 e 92)</t>
        </is>
      </c>
      <c r="C18" s="11" t="inlineStr">
        <is>
          <t>Alta</t>
        </is>
      </c>
      <c r="D18" s="11" t="inlineStr">
        <is>
          <t>🔥</t>
        </is>
      </c>
      <c r="E18" s="11" t="inlineStr">
        <is>
          <t>Não</t>
        </is>
      </c>
      <c r="F18" s="11" t="inlineStr"/>
    </row>
    <row r="19">
      <c r="A19" s="15" t="inlineStr">
        <is>
          <t>Legislação Institucional</t>
        </is>
      </c>
      <c r="B19" s="16" t="inlineStr">
        <is>
          <t>Lei 12.896/26: Quadros de pessoal - QOEM, QOE, QP etc (Art. 93)</t>
        </is>
      </c>
      <c r="C19" s="15" t="inlineStr">
        <is>
          <t>Alta</t>
        </is>
      </c>
      <c r="D19" s="15" t="inlineStr">
        <is>
          <t>🔥</t>
        </is>
      </c>
      <c r="E19" s="15" t="inlineStr">
        <is>
          <t>Não</t>
        </is>
      </c>
      <c r="F19" s="15" t="inlineStr"/>
    </row>
    <row r="20">
      <c r="A20" s="11" t="inlineStr">
        <is>
          <t>Legislação Institucional</t>
        </is>
      </c>
      <c r="B20" s="12" t="inlineStr">
        <is>
          <t>Lei 12.896/26: Nomeação, designação e substituição (Art. 107-111)</t>
        </is>
      </c>
      <c r="C20" s="11" t="inlineStr">
        <is>
          <t>Média</t>
        </is>
      </c>
      <c r="D20" s="11" t="inlineStr">
        <is>
          <t>-</t>
        </is>
      </c>
      <c r="E20" s="11" t="inlineStr">
        <is>
          <t>Não</t>
        </is>
      </c>
      <c r="F20" s="11" t="inlineStr"/>
    </row>
    <row r="21">
      <c r="A21" s="15" t="inlineStr">
        <is>
          <t>História do Brasil</t>
        </is>
      </c>
      <c r="B21" s="16" t="inlineStr">
        <is>
          <t>Contribuição de índios e negros na formação do Brasil</t>
        </is>
      </c>
      <c r="C21" s="15" t="inlineStr">
        <is>
          <t>Média</t>
        </is>
      </c>
      <c r="D21" s="15" t="inlineStr">
        <is>
          <t>-</t>
        </is>
      </c>
      <c r="E21" s="15" t="inlineStr">
        <is>
          <t>Sim</t>
        </is>
      </c>
      <c r="F21" s="15" t="inlineStr">
        <is>
          <t>Simulado / Revisão em Lote</t>
        </is>
      </c>
    </row>
    <row r="22">
      <c r="A22" s="11" t="inlineStr">
        <is>
          <t>História do Brasil</t>
        </is>
      </c>
      <c r="B22" s="12" t="inlineStr">
        <is>
          <t>Formação do Brasil Contemporâneo</t>
        </is>
      </c>
      <c r="C22" s="11" t="inlineStr">
        <is>
          <t>Média</t>
        </is>
      </c>
      <c r="D22" s="11" t="inlineStr">
        <is>
          <t>-</t>
        </is>
      </c>
      <c r="E22" s="11" t="inlineStr">
        <is>
          <t>Sim</t>
        </is>
      </c>
      <c r="F22" s="11" t="inlineStr">
        <is>
          <t>Simulado / Revisão em Lote</t>
        </is>
      </c>
    </row>
    <row r="23">
      <c r="A23" s="15" t="inlineStr">
        <is>
          <t>História do Brasil</t>
        </is>
      </c>
      <c r="B23" s="16" t="inlineStr">
        <is>
          <t>República Velha e estruturas oligárquicas</t>
        </is>
      </c>
      <c r="C23" s="15" t="inlineStr">
        <is>
          <t>Alta</t>
        </is>
      </c>
      <c r="D23" s="15" t="inlineStr">
        <is>
          <t>🔥</t>
        </is>
      </c>
      <c r="E23" s="15" t="inlineStr">
        <is>
          <t>Sim</t>
        </is>
      </c>
      <c r="F23" s="15" t="inlineStr">
        <is>
          <t>Simulado / Revisão em Lote</t>
        </is>
      </c>
    </row>
    <row r="24">
      <c r="A24" s="11" t="inlineStr">
        <is>
          <t>História do Brasil</t>
        </is>
      </c>
      <c r="B24" s="12" t="inlineStr">
        <is>
          <t>Economia e sociedade: o café</t>
        </is>
      </c>
      <c r="C24" s="11" t="inlineStr">
        <is>
          <t>Média</t>
        </is>
      </c>
      <c r="D24" s="11" t="inlineStr">
        <is>
          <t>-</t>
        </is>
      </c>
      <c r="E24" s="11" t="inlineStr">
        <is>
          <t>Não</t>
        </is>
      </c>
      <c r="F24" s="11" t="inlineStr"/>
    </row>
    <row r="25">
      <c r="A25" s="15" t="inlineStr">
        <is>
          <t>História do Brasil</t>
        </is>
      </c>
      <c r="B25" s="16" t="inlineStr">
        <is>
          <t>Revolução de 1930</t>
        </is>
      </c>
      <c r="C25" s="15" t="inlineStr">
        <is>
          <t>Alta</t>
        </is>
      </c>
      <c r="D25" s="15" t="inlineStr">
        <is>
          <t>🔥</t>
        </is>
      </c>
      <c r="E25" s="15" t="inlineStr">
        <is>
          <t>Sim</t>
        </is>
      </c>
      <c r="F25" s="15" t="inlineStr"/>
    </row>
    <row r="26">
      <c r="A26" s="11" t="inlineStr">
        <is>
          <t>História do Brasil</t>
        </is>
      </c>
      <c r="B26" s="12" t="inlineStr">
        <is>
          <t>Era Vargas: política, economia e sociedade</t>
        </is>
      </c>
      <c r="C26" s="11" t="inlineStr">
        <is>
          <t>Alta</t>
        </is>
      </c>
      <c r="D26" s="11" t="inlineStr">
        <is>
          <t>🔥</t>
        </is>
      </c>
      <c r="E26" s="11" t="inlineStr">
        <is>
          <t>Não</t>
        </is>
      </c>
      <c r="F26" s="11" t="inlineStr"/>
    </row>
    <row r="27">
      <c r="A27" s="15" t="inlineStr">
        <is>
          <t>História do Brasil</t>
        </is>
      </c>
      <c r="B27" s="16" t="inlineStr">
        <is>
          <t>Período democrático (1945-1964)</t>
        </is>
      </c>
      <c r="C27" s="15" t="inlineStr">
        <is>
          <t>Média</t>
        </is>
      </c>
      <c r="D27" s="15" t="inlineStr">
        <is>
          <t>-</t>
        </is>
      </c>
      <c r="E27" s="15" t="inlineStr">
        <is>
          <t>Não</t>
        </is>
      </c>
      <c r="F27" s="15" t="inlineStr"/>
    </row>
    <row r="28">
      <c r="A28" s="11" t="inlineStr">
        <is>
          <t>História do Brasil</t>
        </is>
      </c>
      <c r="B28" s="12" t="inlineStr">
        <is>
          <t>Redemocratização e Constituição de 1946</t>
        </is>
      </c>
      <c r="C28" s="11" t="inlineStr">
        <is>
          <t>Média</t>
        </is>
      </c>
      <c r="D28" s="11" t="inlineStr">
        <is>
          <t>-</t>
        </is>
      </c>
      <c r="E28" s="11" t="inlineStr">
        <is>
          <t>Não</t>
        </is>
      </c>
      <c r="F28" s="11" t="inlineStr"/>
    </row>
    <row r="29">
      <c r="A29" s="15" t="inlineStr">
        <is>
          <t>História do Brasil</t>
        </is>
      </c>
      <c r="B29" s="16" t="inlineStr">
        <is>
          <t>Industrialização do governo JK</t>
        </is>
      </c>
      <c r="C29" s="15" t="inlineStr">
        <is>
          <t>Média</t>
        </is>
      </c>
      <c r="D29" s="15" t="inlineStr">
        <is>
          <t>-</t>
        </is>
      </c>
      <c r="E29" s="15" t="inlineStr">
        <is>
          <t>Não</t>
        </is>
      </c>
      <c r="F29" s="15" t="inlineStr"/>
    </row>
    <row r="30">
      <c r="A30" s="11" t="inlineStr">
        <is>
          <t>História do Brasil</t>
        </is>
      </c>
      <c r="B30" s="12" t="inlineStr">
        <is>
          <t>Crise do regime democrático</t>
        </is>
      </c>
      <c r="C30" s="11" t="inlineStr">
        <is>
          <t>Média</t>
        </is>
      </c>
      <c r="D30" s="11" t="inlineStr">
        <is>
          <t>-</t>
        </is>
      </c>
      <c r="E30" s="11" t="inlineStr">
        <is>
          <t>Não</t>
        </is>
      </c>
      <c r="F30" s="11" t="inlineStr"/>
    </row>
    <row r="31">
      <c r="A31" s="15" t="inlineStr">
        <is>
          <t>História do Brasil</t>
        </is>
      </c>
      <c r="B31" s="16" t="inlineStr">
        <is>
          <t>Golpe de 1964</t>
        </is>
      </c>
      <c r="C31" s="15" t="inlineStr">
        <is>
          <t>Alta</t>
        </is>
      </c>
      <c r="D31" s="15" t="inlineStr">
        <is>
          <t>🔥</t>
        </is>
      </c>
      <c r="E31" s="15" t="inlineStr">
        <is>
          <t>Não</t>
        </is>
      </c>
      <c r="F31" s="15" t="inlineStr"/>
    </row>
    <row r="32">
      <c r="A32" s="11" t="inlineStr">
        <is>
          <t>História do Brasil</t>
        </is>
      </c>
      <c r="B32" s="12" t="inlineStr">
        <is>
          <t>Crise do regime militar e redemocratização</t>
        </is>
      </c>
      <c r="C32" s="11" t="inlineStr">
        <is>
          <t>Alta</t>
        </is>
      </c>
      <c r="D32" s="11" t="inlineStr">
        <is>
          <t>🔥</t>
        </is>
      </c>
      <c r="E32" s="11" t="inlineStr">
        <is>
          <t>Não</t>
        </is>
      </c>
      <c r="F32" s="11" t="inlineStr"/>
    </row>
    <row r="33">
      <c r="A33" s="15" t="inlineStr">
        <is>
          <t>História do Brasil</t>
        </is>
      </c>
      <c r="B33" s="16" t="inlineStr">
        <is>
          <t>Brasil político: nação e território</t>
        </is>
      </c>
      <c r="C33" s="15" t="inlineStr">
        <is>
          <t>Baixa</t>
        </is>
      </c>
      <c r="D33" s="15" t="inlineStr">
        <is>
          <t>-</t>
        </is>
      </c>
      <c r="E33" s="15" t="inlineStr">
        <is>
          <t>Não</t>
        </is>
      </c>
      <c r="F33" s="15" t="inlineStr"/>
    </row>
    <row r="34">
      <c r="A34" s="11" t="inlineStr">
        <is>
          <t>História do Brasil</t>
        </is>
      </c>
      <c r="B34" s="12" t="inlineStr">
        <is>
          <t>Organização do Estado Brasileiro</t>
        </is>
      </c>
      <c r="C34" s="11" t="inlineStr">
        <is>
          <t>Baixa</t>
        </is>
      </c>
      <c r="D34" s="11" t="inlineStr">
        <is>
          <t>-</t>
        </is>
      </c>
      <c r="E34" s="11" t="inlineStr">
        <is>
          <t>Não</t>
        </is>
      </c>
      <c r="F34" s="11" t="inlineStr"/>
    </row>
    <row r="35">
      <c r="A35" s="15" t="inlineStr">
        <is>
          <t>História do Brasil</t>
        </is>
      </c>
      <c r="B35" s="16" t="inlineStr">
        <is>
          <t>As Constituições brasileiras</t>
        </is>
      </c>
      <c r="C35" s="15" t="inlineStr">
        <is>
          <t>Baixa</t>
        </is>
      </c>
      <c r="D35" s="15" t="inlineStr">
        <is>
          <t>-</t>
        </is>
      </c>
      <c r="E35" s="15" t="inlineStr">
        <is>
          <t>Não</t>
        </is>
      </c>
      <c r="F35" s="15" t="inlineStr"/>
    </row>
    <row r="36">
      <c r="A36" s="11" t="inlineStr">
        <is>
          <t>História do Maranhão</t>
        </is>
      </c>
      <c r="B36" s="12" t="inlineStr">
        <is>
          <t>França Equinocial: expedição de La Touche</t>
        </is>
      </c>
      <c r="C36" s="11" t="inlineStr">
        <is>
          <t>Alta</t>
        </is>
      </c>
      <c r="D36" s="11" t="inlineStr">
        <is>
          <t>🔥</t>
        </is>
      </c>
      <c r="E36" s="11" t="inlineStr">
        <is>
          <t>Sim</t>
        </is>
      </c>
      <c r="F36" s="11" t="inlineStr">
        <is>
          <t>Simulado / Revisão em Lote</t>
        </is>
      </c>
    </row>
    <row r="37">
      <c r="A37" s="15" t="inlineStr">
        <is>
          <t>História do Maranhão</t>
        </is>
      </c>
      <c r="B37" s="16" t="inlineStr">
        <is>
          <t>Fundação de São Luís</t>
        </is>
      </c>
      <c r="C37" s="15" t="inlineStr">
        <is>
          <t>Alta</t>
        </is>
      </c>
      <c r="D37" s="15" t="inlineStr">
        <is>
          <t>🔥</t>
        </is>
      </c>
      <c r="E37" s="15" t="inlineStr">
        <is>
          <t>Sim</t>
        </is>
      </c>
      <c r="F37" s="15" t="inlineStr">
        <is>
          <t>Simulado / Revisão em Lote</t>
        </is>
      </c>
    </row>
    <row r="38">
      <c r="A38" s="11" t="inlineStr">
        <is>
          <t>História do Maranhão</t>
        </is>
      </c>
      <c r="B38" s="12" t="inlineStr">
        <is>
          <t>Batalha de Guaxenduba</t>
        </is>
      </c>
      <c r="C38" s="11" t="inlineStr">
        <is>
          <t>Alta</t>
        </is>
      </c>
      <c r="D38" s="11" t="inlineStr">
        <is>
          <t>🔥</t>
        </is>
      </c>
      <c r="E38" s="11" t="inlineStr">
        <is>
          <t>Sim</t>
        </is>
      </c>
      <c r="F38" s="11" t="inlineStr">
        <is>
          <t>Simulado / Revisão em Lote</t>
        </is>
      </c>
    </row>
    <row r="39">
      <c r="A39" s="15" t="inlineStr">
        <is>
          <t>História do Maranhão</t>
        </is>
      </c>
      <c r="B39" s="16" t="inlineStr">
        <is>
          <t>Capitães-mores do Maranhão</t>
        </is>
      </c>
      <c r="C39" s="15" t="inlineStr">
        <is>
          <t>Baixa</t>
        </is>
      </c>
      <c r="D39" s="15" t="inlineStr">
        <is>
          <t>-</t>
        </is>
      </c>
      <c r="E39" s="15" t="inlineStr">
        <is>
          <t>Sim</t>
        </is>
      </c>
      <c r="F39" s="15" t="inlineStr"/>
    </row>
    <row r="40">
      <c r="A40" s="11" t="inlineStr">
        <is>
          <t>História do Maranhão</t>
        </is>
      </c>
      <c r="B40" s="12" t="inlineStr">
        <is>
          <t>Invasão e expulsão dos holandeses</t>
        </is>
      </c>
      <c r="C40" s="11" t="inlineStr">
        <is>
          <t>Média</t>
        </is>
      </c>
      <c r="D40" s="11" t="inlineStr">
        <is>
          <t>-</t>
        </is>
      </c>
      <c r="E40" s="11" t="inlineStr">
        <is>
          <t>Não</t>
        </is>
      </c>
      <c r="F40" s="11" t="inlineStr"/>
    </row>
    <row r="41">
      <c r="A41" s="15" t="inlineStr">
        <is>
          <t>História do Maranhão</t>
        </is>
      </c>
      <c r="B41" s="16" t="inlineStr">
        <is>
          <t>Estado do Maranhão e Grão-Pará / Revolta de Beckman</t>
        </is>
      </c>
      <c r="C41" s="15" t="inlineStr">
        <is>
          <t>Alta</t>
        </is>
      </c>
      <c r="D41" s="15" t="inlineStr">
        <is>
          <t>🔥</t>
        </is>
      </c>
      <c r="E41" s="15" t="inlineStr">
        <is>
          <t>Não</t>
        </is>
      </c>
      <c r="F41" s="15" t="inlineStr"/>
    </row>
    <row r="42">
      <c r="A42" s="11" t="inlineStr">
        <is>
          <t>História do Maranhão</t>
        </is>
      </c>
      <c r="B42" s="12" t="inlineStr">
        <is>
          <t>Companhia de Comércio do Maranhão e Grão-Pará</t>
        </is>
      </c>
      <c r="C42" s="11" t="inlineStr">
        <is>
          <t>Média</t>
        </is>
      </c>
      <c r="D42" s="11" t="inlineStr">
        <is>
          <t>-</t>
        </is>
      </c>
      <c r="E42" s="11" t="inlineStr">
        <is>
          <t>Não</t>
        </is>
      </c>
      <c r="F42" s="11" t="inlineStr"/>
    </row>
    <row r="43">
      <c r="A43" s="15" t="inlineStr">
        <is>
          <t>História do Maranhão</t>
        </is>
      </c>
      <c r="B43" s="16" t="inlineStr">
        <is>
          <t>Adesão do Maranhão à Independência do Brasil</t>
        </is>
      </c>
      <c r="C43" s="15" t="inlineStr">
        <is>
          <t>Alta</t>
        </is>
      </c>
      <c r="D43" s="15" t="inlineStr">
        <is>
          <t>🔥</t>
        </is>
      </c>
      <c r="E43" s="15" t="inlineStr">
        <is>
          <t>Não</t>
        </is>
      </c>
      <c r="F43" s="15" t="inlineStr"/>
    </row>
    <row r="44">
      <c r="A44" s="11" t="inlineStr">
        <is>
          <t>História do Maranhão</t>
        </is>
      </c>
      <c r="B44" s="12" t="inlineStr">
        <is>
          <t>Batalha do Jenipapo</t>
        </is>
      </c>
      <c r="C44" s="11" t="inlineStr">
        <is>
          <t>Alta</t>
        </is>
      </c>
      <c r="D44" s="11" t="inlineStr">
        <is>
          <t>🔥</t>
        </is>
      </c>
      <c r="E44" s="11" t="inlineStr">
        <is>
          <t>Não</t>
        </is>
      </c>
      <c r="F44" s="11" t="inlineStr"/>
    </row>
    <row r="45">
      <c r="A45" s="15" t="inlineStr">
        <is>
          <t>História do Maranhão</t>
        </is>
      </c>
      <c r="B45" s="16" t="inlineStr">
        <is>
          <t>Balaiada</t>
        </is>
      </c>
      <c r="C45" s="15" t="inlineStr">
        <is>
          <t>Alta</t>
        </is>
      </c>
      <c r="D45" s="15" t="inlineStr">
        <is>
          <t>🔥</t>
        </is>
      </c>
      <c r="E45" s="15" t="inlineStr">
        <is>
          <t>Não</t>
        </is>
      </c>
      <c r="F45" s="15" t="inlineStr"/>
    </row>
    <row r="46">
      <c r="A46" s="11" t="inlineStr">
        <is>
          <t>História do Maranhão</t>
        </is>
      </c>
      <c r="B46" s="12" t="inlineStr">
        <is>
          <t>Adesão do Maranhão à República</t>
        </is>
      </c>
      <c r="C46" s="11" t="inlineStr">
        <is>
          <t>Média</t>
        </is>
      </c>
      <c r="D46" s="11" t="inlineStr">
        <is>
          <t>-</t>
        </is>
      </c>
      <c r="E46" s="11" t="inlineStr">
        <is>
          <t>Não</t>
        </is>
      </c>
      <c r="F46" s="11" t="inlineStr"/>
    </row>
    <row r="47">
      <c r="A47" s="15" t="inlineStr">
        <is>
          <t>História do Maranhão</t>
        </is>
      </c>
      <c r="B47" s="16" t="inlineStr">
        <is>
          <t>Revolução de 1930 no Maranhão</t>
        </is>
      </c>
      <c r="C47" s="15" t="inlineStr">
        <is>
          <t>Média</t>
        </is>
      </c>
      <c r="D47" s="15" t="inlineStr">
        <is>
          <t>-</t>
        </is>
      </c>
      <c r="E47" s="15" t="inlineStr">
        <is>
          <t>Não</t>
        </is>
      </c>
      <c r="F47" s="15" t="inlineStr"/>
    </row>
    <row r="48">
      <c r="A48" s="11" t="inlineStr">
        <is>
          <t>História do Maranhão</t>
        </is>
      </c>
      <c r="B48" s="12" t="inlineStr">
        <is>
          <t>Fatos políticos/econômicos/sociais do MA (2ª metade séc. XX)</t>
        </is>
      </c>
      <c r="C48" s="11" t="inlineStr">
        <is>
          <t>Baixa</t>
        </is>
      </c>
      <c r="D48" s="11" t="inlineStr">
        <is>
          <t>-</t>
        </is>
      </c>
      <c r="E48" s="11" t="inlineStr">
        <is>
          <t>Não</t>
        </is>
      </c>
      <c r="F48" s="11" t="inlineStr"/>
    </row>
    <row r="49">
      <c r="A49" s="15" t="inlineStr">
        <is>
          <t>Geografia do Brasil</t>
        </is>
      </c>
      <c r="B49" s="16" t="inlineStr">
        <is>
          <t>Integração à internacionalização da economia</t>
        </is>
      </c>
      <c r="C49" s="15" t="inlineStr">
        <is>
          <t>Média</t>
        </is>
      </c>
      <c r="D49" s="15" t="inlineStr">
        <is>
          <t>-</t>
        </is>
      </c>
      <c r="E49" s="15" t="inlineStr">
        <is>
          <t>Sim</t>
        </is>
      </c>
      <c r="F49" s="15" t="inlineStr">
        <is>
          <t>Simulado / Revisão em Lote</t>
        </is>
      </c>
    </row>
    <row r="50">
      <c r="A50" s="11" t="inlineStr">
        <is>
          <t>Geografia do Brasil</t>
        </is>
      </c>
      <c r="B50" s="12" t="inlineStr">
        <is>
          <t>Industrialização e organização do espaço</t>
        </is>
      </c>
      <c r="C50" s="11" t="inlineStr">
        <is>
          <t>Alta</t>
        </is>
      </c>
      <c r="D50" s="11" t="inlineStr">
        <is>
          <t>🔥</t>
        </is>
      </c>
      <c r="E50" s="11" t="inlineStr">
        <is>
          <t>Sim</t>
        </is>
      </c>
      <c r="F50" s="11" t="inlineStr">
        <is>
          <t>Simulado / Revisão em Lote</t>
        </is>
      </c>
    </row>
    <row r="51">
      <c r="A51" s="15" t="inlineStr">
        <is>
          <t>Geografia do Brasil</t>
        </is>
      </c>
      <c r="B51" s="16" t="inlineStr">
        <is>
          <t>Rede brasileira de transportes</t>
        </is>
      </c>
      <c r="C51" s="15" t="inlineStr">
        <is>
          <t>Média</t>
        </is>
      </c>
      <c r="D51" s="15" t="inlineStr">
        <is>
          <t>-</t>
        </is>
      </c>
      <c r="E51" s="15" t="inlineStr">
        <is>
          <t>Sim</t>
        </is>
      </c>
      <c r="F51" s="15" t="inlineStr">
        <is>
          <t>Simulado / Revisão em Lote</t>
        </is>
      </c>
    </row>
    <row r="52">
      <c r="A52" s="11" t="inlineStr">
        <is>
          <t>Geografia do Brasil</t>
        </is>
      </c>
      <c r="B52" s="12" t="inlineStr">
        <is>
          <t>Estrutura urbana e grandes metrópoles</t>
        </is>
      </c>
      <c r="C52" s="11" t="inlineStr">
        <is>
          <t>Alta</t>
        </is>
      </c>
      <c r="D52" s="11" t="inlineStr">
        <is>
          <t>🔥</t>
        </is>
      </c>
      <c r="E52" s="11" t="inlineStr">
        <is>
          <t>Não</t>
        </is>
      </c>
      <c r="F52" s="11" t="inlineStr"/>
    </row>
    <row r="53">
      <c r="A53" s="15" t="inlineStr">
        <is>
          <t>Geografia do Brasil</t>
        </is>
      </c>
      <c r="B53" s="16" t="inlineStr">
        <is>
          <t>Fronteiras agrícolas: Centro-Oeste e Amazônia</t>
        </is>
      </c>
      <c r="C53" s="15" t="inlineStr">
        <is>
          <t>Alta</t>
        </is>
      </c>
      <c r="D53" s="15" t="inlineStr">
        <is>
          <t>🔥</t>
        </is>
      </c>
      <c r="E53" s="15" t="inlineStr">
        <is>
          <t>Sim</t>
        </is>
      </c>
      <c r="F53" s="15" t="inlineStr"/>
    </row>
    <row r="54">
      <c r="A54" s="11" t="inlineStr">
        <is>
          <t>Geografia do Brasil</t>
        </is>
      </c>
      <c r="B54" s="12" t="inlineStr">
        <is>
          <t>Estrutura fundiária e problemas demográficos</t>
        </is>
      </c>
      <c r="C54" s="11" t="inlineStr">
        <is>
          <t>Alta</t>
        </is>
      </c>
      <c r="D54" s="11" t="inlineStr">
        <is>
          <t>🔥</t>
        </is>
      </c>
      <c r="E54" s="11" t="inlineStr">
        <is>
          <t>Não</t>
        </is>
      </c>
      <c r="F54" s="11" t="inlineStr"/>
    </row>
    <row r="55">
      <c r="A55" s="15" t="inlineStr">
        <is>
          <t>Geografia do Brasil</t>
        </is>
      </c>
      <c r="B55" s="16" t="inlineStr">
        <is>
          <t>Movimentos migratórios internos</t>
        </is>
      </c>
      <c r="C55" s="15" t="inlineStr">
        <is>
          <t>Alta</t>
        </is>
      </c>
      <c r="D55" s="15" t="inlineStr">
        <is>
          <t>🔥</t>
        </is>
      </c>
      <c r="E55" s="15" t="inlineStr">
        <is>
          <t>Não</t>
        </is>
      </c>
      <c r="F55" s="15" t="inlineStr"/>
    </row>
    <row r="56">
      <c r="A56" s="11" t="inlineStr">
        <is>
          <t>Geografia do Brasil</t>
        </is>
      </c>
      <c r="B56" s="12" t="inlineStr">
        <is>
          <t>População brasileira: distribuição e estrutura etária</t>
        </is>
      </c>
      <c r="C56" s="11" t="inlineStr">
        <is>
          <t>Alta</t>
        </is>
      </c>
      <c r="D56" s="11" t="inlineStr">
        <is>
          <t>🔥</t>
        </is>
      </c>
      <c r="E56" s="11" t="inlineStr">
        <is>
          <t>Não</t>
        </is>
      </c>
      <c r="F56" s="11" t="inlineStr"/>
    </row>
    <row r="57">
      <c r="A57" s="15" t="inlineStr">
        <is>
          <t>Geografia do Brasil</t>
        </is>
      </c>
      <c r="B57" s="16" t="inlineStr">
        <is>
          <t>Integração indústria/transporte/agrícola</t>
        </is>
      </c>
      <c r="C57" s="15" t="inlineStr">
        <is>
          <t>Média</t>
        </is>
      </c>
      <c r="D57" s="15" t="inlineStr">
        <is>
          <t>-</t>
        </is>
      </c>
      <c r="E57" s="15" t="inlineStr">
        <is>
          <t>Não</t>
        </is>
      </c>
      <c r="F57" s="15" t="inlineStr"/>
    </row>
    <row r="58">
      <c r="A58" s="11" t="inlineStr">
        <is>
          <t>Geografia do Brasil</t>
        </is>
      </c>
      <c r="B58" s="12" t="inlineStr">
        <is>
          <t>Recursos naturais: aproveitamento e conservação</t>
        </is>
      </c>
      <c r="C58" s="11" t="inlineStr">
        <is>
          <t>Média</t>
        </is>
      </c>
      <c r="D58" s="11" t="inlineStr">
        <is>
          <t>-</t>
        </is>
      </c>
      <c r="E58" s="11" t="inlineStr">
        <is>
          <t>Não</t>
        </is>
      </c>
      <c r="F58" s="11" t="inlineStr"/>
    </row>
    <row r="59">
      <c r="A59" s="15" t="inlineStr">
        <is>
          <t>Geografia do Maranhão</t>
        </is>
      </c>
      <c r="B59" s="16" t="inlineStr">
        <is>
          <t>Localização: superfície, limites e APAs</t>
        </is>
      </c>
      <c r="C59" s="15" t="inlineStr">
        <is>
          <t>Média</t>
        </is>
      </c>
      <c r="D59" s="15" t="inlineStr">
        <is>
          <t>-</t>
        </is>
      </c>
      <c r="E59" s="15" t="inlineStr">
        <is>
          <t>Sim</t>
        </is>
      </c>
      <c r="F59" s="15" t="inlineStr">
        <is>
          <t>Simulado / Revisão em Lote</t>
        </is>
      </c>
    </row>
    <row r="60">
      <c r="A60" s="11" t="inlineStr">
        <is>
          <t>Geografia do Maranhão</t>
        </is>
      </c>
      <c r="B60" s="12" t="inlineStr">
        <is>
          <t>Parques nacionais</t>
        </is>
      </c>
      <c r="C60" s="11" t="inlineStr">
        <is>
          <t>Baixa</t>
        </is>
      </c>
      <c r="D60" s="11" t="inlineStr">
        <is>
          <t>-</t>
        </is>
      </c>
      <c r="E60" s="11" t="inlineStr">
        <is>
          <t>Sim</t>
        </is>
      </c>
      <c r="F60" s="11" t="inlineStr">
        <is>
          <t>Simulado / Revisão em Lote</t>
        </is>
      </c>
    </row>
    <row r="61">
      <c r="A61" s="15" t="inlineStr">
        <is>
          <t>Geografia do Maranhão</t>
        </is>
      </c>
      <c r="B61" s="16" t="inlineStr">
        <is>
          <t>Clima do Maranhão: pluviosidade e temperatura</t>
        </is>
      </c>
      <c r="C61" s="15" t="inlineStr">
        <is>
          <t>Alta</t>
        </is>
      </c>
      <c r="D61" s="15" t="inlineStr">
        <is>
          <t>🔥</t>
        </is>
      </c>
      <c r="E61" s="15" t="inlineStr">
        <is>
          <t>Sim</t>
        </is>
      </c>
      <c r="F61" s="15" t="inlineStr">
        <is>
          <t>Simulado / Revisão em Lote</t>
        </is>
      </c>
    </row>
    <row r="62">
      <c r="A62" s="11" t="inlineStr">
        <is>
          <t>Geografia do Maranhão</t>
        </is>
      </c>
      <c r="B62" s="12" t="inlineStr">
        <is>
          <t>Geomorfologia e classificação do relevo</t>
        </is>
      </c>
      <c r="C62" s="11" t="inlineStr">
        <is>
          <t>Alta</t>
        </is>
      </c>
      <c r="D62" s="11" t="inlineStr">
        <is>
          <t>🔥</t>
        </is>
      </c>
      <c r="E62" s="11" t="inlineStr">
        <is>
          <t>Não</t>
        </is>
      </c>
      <c r="F62" s="11" t="inlineStr"/>
    </row>
    <row r="63">
      <c r="A63" s="15" t="inlineStr">
        <is>
          <t>Geografia do Maranhão</t>
        </is>
      </c>
      <c r="B63" s="16" t="inlineStr">
        <is>
          <t>Rios maranhenses: bacias limítrofes</t>
        </is>
      </c>
      <c r="C63" s="15" t="inlineStr">
        <is>
          <t>Alta</t>
        </is>
      </c>
      <c r="D63" s="15" t="inlineStr">
        <is>
          <t>🔥</t>
        </is>
      </c>
      <c r="E63" s="15" t="inlineStr">
        <is>
          <t>Não</t>
        </is>
      </c>
      <c r="F63" s="15" t="inlineStr"/>
    </row>
    <row r="64">
      <c r="A64" s="11" t="inlineStr">
        <is>
          <t>Geografia do Maranhão</t>
        </is>
      </c>
      <c r="B64" s="12" t="inlineStr">
        <is>
          <t>Bacias dos rios genuinamente maranhenses</t>
        </is>
      </c>
      <c r="C64" s="11" t="inlineStr">
        <is>
          <t>Alta</t>
        </is>
      </c>
      <c r="D64" s="11" t="inlineStr">
        <is>
          <t>🔥</t>
        </is>
      </c>
      <c r="E64" s="11" t="inlineStr">
        <is>
          <t>Não</t>
        </is>
      </c>
      <c r="F64" s="11" t="inlineStr"/>
    </row>
    <row r="65">
      <c r="A65" s="15" t="inlineStr">
        <is>
          <t>Geografia do Maranhão</t>
        </is>
      </c>
      <c r="B65" s="16" t="inlineStr">
        <is>
          <t>Formações vegetais: floresta, cerrado e cocais</t>
        </is>
      </c>
      <c r="C65" s="15" t="inlineStr">
        <is>
          <t>Alta</t>
        </is>
      </c>
      <c r="D65" s="15" t="inlineStr">
        <is>
          <t>🔥</t>
        </is>
      </c>
      <c r="E65" s="15" t="inlineStr">
        <is>
          <t>Não</t>
        </is>
      </c>
      <c r="F65" s="15" t="inlineStr"/>
    </row>
    <row r="66">
      <c r="A66" s="11" t="inlineStr">
        <is>
          <t>Geografia do Maranhão</t>
        </is>
      </c>
      <c r="B66" s="12" t="inlineStr">
        <is>
          <t>População absoluta, densidade e povoamento</t>
        </is>
      </c>
      <c r="C66" s="11" t="inlineStr">
        <is>
          <t>Alta</t>
        </is>
      </c>
      <c r="D66" s="11" t="inlineStr">
        <is>
          <t>🔥</t>
        </is>
      </c>
      <c r="E66" s="11" t="inlineStr">
        <is>
          <t>Não</t>
        </is>
      </c>
      <c r="F66" s="11" t="inlineStr"/>
    </row>
    <row r="67">
      <c r="A67" s="15" t="inlineStr">
        <is>
          <t>Geografia do Maranhão</t>
        </is>
      </c>
      <c r="B67" s="16" t="inlineStr">
        <is>
          <t>Movimentos populacionais</t>
        </is>
      </c>
      <c r="C67" s="15" t="inlineStr">
        <is>
          <t>Alta</t>
        </is>
      </c>
      <c r="D67" s="15" t="inlineStr">
        <is>
          <t>🔥</t>
        </is>
      </c>
      <c r="E67" s="15" t="inlineStr">
        <is>
          <t>Não</t>
        </is>
      </c>
      <c r="F67" s="15" t="inlineStr"/>
    </row>
    <row r="68">
      <c r="A68" s="11" t="inlineStr">
        <is>
          <t>Geografia do Maranhão</t>
        </is>
      </c>
      <c r="B68" s="12" t="inlineStr">
        <is>
          <t>Agricultura maranhense</t>
        </is>
      </c>
      <c r="C68" s="11" t="inlineStr">
        <is>
          <t>Alta</t>
        </is>
      </c>
      <c r="D68" s="11" t="inlineStr">
        <is>
          <t>🔥</t>
        </is>
      </c>
      <c r="E68" s="11" t="inlineStr">
        <is>
          <t>Não</t>
        </is>
      </c>
      <c r="F68" s="11" t="inlineStr"/>
    </row>
    <row r="69">
      <c r="A69" s="15" t="inlineStr">
        <is>
          <t>Geografia do Maranhão</t>
        </is>
      </c>
      <c r="B69" s="16" t="inlineStr">
        <is>
          <t>Extrativismo vegetal, animal e mineral</t>
        </is>
      </c>
      <c r="C69" s="15" t="inlineStr">
        <is>
          <t>Alta</t>
        </is>
      </c>
      <c r="D69" s="15" t="inlineStr">
        <is>
          <t>🔥</t>
        </is>
      </c>
      <c r="E69" s="15" t="inlineStr">
        <is>
          <t>Não</t>
        </is>
      </c>
      <c r="F69" s="15" t="inlineStr"/>
    </row>
    <row r="70">
      <c r="A70" s="11" t="inlineStr">
        <is>
          <t>Geografia do Maranhão</t>
        </is>
      </c>
      <c r="B70" s="12" t="inlineStr">
        <is>
          <t>Parque industrial: base e transformação</t>
        </is>
      </c>
      <c r="C70" s="11" t="inlineStr">
        <is>
          <t>Média</t>
        </is>
      </c>
      <c r="D70" s="11" t="inlineStr">
        <is>
          <t>-</t>
        </is>
      </c>
      <c r="E70" s="11" t="inlineStr">
        <is>
          <t>Não</t>
        </is>
      </c>
      <c r="F70" s="11" t="inlineStr"/>
    </row>
    <row r="71">
      <c r="A71" s="15" t="inlineStr">
        <is>
          <t>Geografia do Maranhão</t>
        </is>
      </c>
      <c r="B71" s="16" t="inlineStr">
        <is>
          <t>Setor terciário: comércio, telecom, transportes</t>
        </is>
      </c>
      <c r="C71" s="15" t="inlineStr">
        <is>
          <t>Média</t>
        </is>
      </c>
      <c r="D71" s="15" t="inlineStr">
        <is>
          <t>-</t>
        </is>
      </c>
      <c r="E71" s="15" t="inlineStr">
        <is>
          <t>Não</t>
        </is>
      </c>
      <c r="F71" s="15" t="inlineStr"/>
    </row>
    <row r="72">
      <c r="A72" s="11" t="inlineStr">
        <is>
          <t>Geografia do Maranhão</t>
        </is>
      </c>
      <c r="B72" s="12" t="inlineStr">
        <is>
          <t>Malha viária, portos e aeroportos</t>
        </is>
      </c>
      <c r="C72" s="11" t="inlineStr">
        <is>
          <t>Baixa</t>
        </is>
      </c>
      <c r="D72" s="11" t="inlineStr">
        <is>
          <t>-</t>
        </is>
      </c>
      <c r="E72" s="11" t="inlineStr">
        <is>
          <t>Não</t>
        </is>
      </c>
      <c r="F72" s="11" t="inlineStr"/>
    </row>
    <row r="73">
      <c r="A73" s="15" t="inlineStr">
        <is>
          <t>Geografia do Maranhão</t>
        </is>
      </c>
      <c r="B73" s="16" t="inlineStr">
        <is>
          <t>Cultura maranhense</t>
        </is>
      </c>
      <c r="C73" s="15" t="inlineStr">
        <is>
          <t>Baixa</t>
        </is>
      </c>
      <c r="D73" s="15" t="inlineStr">
        <is>
          <t>-</t>
        </is>
      </c>
      <c r="E73" s="15" t="inlineStr">
        <is>
          <t>Não</t>
        </is>
      </c>
      <c r="F73" s="15" t="inlineStr"/>
    </row>
    <row r="74">
      <c r="A74" s="11" t="inlineStr">
        <is>
          <t>Raciocínio Lógico</t>
        </is>
      </c>
      <c r="B74" s="12" t="inlineStr">
        <is>
          <t>Compreensão de estruturas lógicas</t>
        </is>
      </c>
      <c r="C74" s="11" t="inlineStr">
        <is>
          <t>Média</t>
        </is>
      </c>
      <c r="D74" s="11" t="inlineStr">
        <is>
          <t>-</t>
        </is>
      </c>
      <c r="E74" s="11" t="inlineStr">
        <is>
          <t>Sim</t>
        </is>
      </c>
      <c r="F74" s="11" t="inlineStr">
        <is>
          <t>Simulado / Revisão em Lote</t>
        </is>
      </c>
    </row>
    <row r="75">
      <c r="A75" s="15" t="inlineStr">
        <is>
          <t>Raciocínio Lógico</t>
        </is>
      </c>
      <c r="B75" s="16" t="inlineStr">
        <is>
          <t>Lógica de argumentação: analogias, inferências, deduções</t>
        </is>
      </c>
      <c r="C75" s="15" t="inlineStr">
        <is>
          <t>Média</t>
        </is>
      </c>
      <c r="D75" s="15" t="inlineStr">
        <is>
          <t>-</t>
        </is>
      </c>
      <c r="E75" s="15" t="inlineStr">
        <is>
          <t>Sim</t>
        </is>
      </c>
      <c r="F75" s="15" t="inlineStr">
        <is>
          <t>Simulado / Revisão em Lote</t>
        </is>
      </c>
    </row>
    <row r="76">
      <c r="A76" s="11" t="inlineStr">
        <is>
          <t>Raciocínio Lógico</t>
        </is>
      </c>
      <c r="B76" s="12" t="inlineStr">
        <is>
          <t>Lógica sentencial: proposições simples e compostas</t>
        </is>
      </c>
      <c r="C76" s="11" t="inlineStr">
        <is>
          <t>Alta</t>
        </is>
      </c>
      <c r="D76" s="11" t="inlineStr">
        <is>
          <t>-</t>
        </is>
      </c>
      <c r="E76" s="11" t="inlineStr">
        <is>
          <t>Sim</t>
        </is>
      </c>
      <c r="F76" s="11" t="inlineStr"/>
    </row>
    <row r="77">
      <c r="A77" s="15" t="inlineStr">
        <is>
          <t>Raciocínio Lógico</t>
        </is>
      </c>
      <c r="B77" s="16" t="inlineStr">
        <is>
          <t>Tabelas verdade</t>
        </is>
      </c>
      <c r="C77" s="15" t="inlineStr">
        <is>
          <t>Alta</t>
        </is>
      </c>
      <c r="D77" s="15" t="inlineStr">
        <is>
          <t>-</t>
        </is>
      </c>
      <c r="E77" s="15" t="inlineStr">
        <is>
          <t>Não</t>
        </is>
      </c>
      <c r="F77" s="15" t="inlineStr"/>
    </row>
    <row r="78">
      <c r="A78" s="11" t="inlineStr">
        <is>
          <t>Raciocínio Lógico</t>
        </is>
      </c>
      <c r="B78" s="12" t="inlineStr">
        <is>
          <t>Equivalências lógicas</t>
        </is>
      </c>
      <c r="C78" s="11" t="inlineStr">
        <is>
          <t>Alta</t>
        </is>
      </c>
      <c r="D78" s="11" t="inlineStr">
        <is>
          <t>-</t>
        </is>
      </c>
      <c r="E78" s="11" t="inlineStr">
        <is>
          <t>Não</t>
        </is>
      </c>
      <c r="F78" s="11" t="inlineStr"/>
    </row>
    <row r="79">
      <c r="A79" s="15" t="inlineStr">
        <is>
          <t>Raciocínio Lógico</t>
        </is>
      </c>
      <c r="B79" s="16" t="inlineStr">
        <is>
          <t>Leis de Morgan</t>
        </is>
      </c>
      <c r="C79" s="15" t="inlineStr">
        <is>
          <t>Alta</t>
        </is>
      </c>
      <c r="D79" s="15" t="inlineStr">
        <is>
          <t>-</t>
        </is>
      </c>
      <c r="E79" s="15" t="inlineStr">
        <is>
          <t>Não</t>
        </is>
      </c>
      <c r="F79" s="15" t="inlineStr"/>
    </row>
    <row r="80">
      <c r="A80" s="11" t="inlineStr">
        <is>
          <t>Raciocínio Lógico</t>
        </is>
      </c>
      <c r="B80" s="12" t="inlineStr">
        <is>
          <t>Diagramas lógicos</t>
        </is>
      </c>
      <c r="C80" s="11" t="inlineStr">
        <is>
          <t>Média</t>
        </is>
      </c>
      <c r="D80" s="11" t="inlineStr">
        <is>
          <t>-</t>
        </is>
      </c>
      <c r="E80" s="11" t="inlineStr">
        <is>
          <t>Não</t>
        </is>
      </c>
      <c r="F80" s="11" t="inlineStr"/>
    </row>
    <row r="81">
      <c r="A81" s="15" t="inlineStr">
        <is>
          <t>Noções de Informática</t>
        </is>
      </c>
      <c r="B81" s="16" t="inlineStr">
        <is>
          <t>Sistema operacional: Windows e Linux</t>
        </is>
      </c>
      <c r="C81" s="15" t="inlineStr">
        <is>
          <t>Alta</t>
        </is>
      </c>
      <c r="D81" s="15" t="inlineStr">
        <is>
          <t>🔥</t>
        </is>
      </c>
      <c r="E81" s="15" t="inlineStr">
        <is>
          <t>Sim</t>
        </is>
      </c>
      <c r="F81" s="15" t="inlineStr">
        <is>
          <t>Simulado / Revisão em Lote</t>
        </is>
      </c>
    </row>
    <row r="82">
      <c r="A82" s="11" t="inlineStr">
        <is>
          <t>Noções de Informática</t>
        </is>
      </c>
      <c r="B82" s="12" t="inlineStr">
        <is>
          <t>Edição de textos, planilhas e apresentações (Office/BrOffice)</t>
        </is>
      </c>
      <c r="C82" s="11" t="inlineStr">
        <is>
          <t>Média</t>
        </is>
      </c>
      <c r="D82" s="11" t="inlineStr">
        <is>
          <t>-</t>
        </is>
      </c>
      <c r="E82" s="11" t="inlineStr">
        <is>
          <t>Sim</t>
        </is>
      </c>
      <c r="F82" s="11" t="inlineStr">
        <is>
          <t>Simulado / Revisão em Lote</t>
        </is>
      </c>
    </row>
    <row r="83">
      <c r="A83" s="15" t="inlineStr">
        <is>
          <t>Noções de Informática</t>
        </is>
      </c>
      <c r="B83" s="16" t="inlineStr">
        <is>
          <t>Redes de computadores: internet e intranet</t>
        </is>
      </c>
      <c r="C83" s="15" t="inlineStr">
        <is>
          <t>Alta</t>
        </is>
      </c>
      <c r="D83" s="15" t="inlineStr">
        <is>
          <t>🔥</t>
        </is>
      </c>
      <c r="E83" s="15" t="inlineStr">
        <is>
          <t>Sim</t>
        </is>
      </c>
      <c r="F83" s="15" t="inlineStr">
        <is>
          <t>Simulado / Revisão em Lote</t>
        </is>
      </c>
    </row>
    <row r="84">
      <c r="A84" s="11" t="inlineStr">
        <is>
          <t>Noções de Informática</t>
        </is>
      </c>
      <c r="B84" s="12" t="inlineStr">
        <is>
          <t>Navegadores (Chrome, Firefox, Edge)</t>
        </is>
      </c>
      <c r="C84" s="11" t="inlineStr">
        <is>
          <t>Média</t>
        </is>
      </c>
      <c r="D84" s="11" t="inlineStr">
        <is>
          <t>-</t>
        </is>
      </c>
      <c r="E84" s="11" t="inlineStr">
        <is>
          <t>Sim</t>
        </is>
      </c>
      <c r="F84" s="11" t="inlineStr">
        <is>
          <t>Simulado / Revisão em Lote</t>
        </is>
      </c>
    </row>
    <row r="85">
      <c r="A85" s="15" t="inlineStr">
        <is>
          <t>Noções de Informática</t>
        </is>
      </c>
      <c r="B85" s="16" t="inlineStr">
        <is>
          <t>Correio eletrônico (Outlook, Thunderbird)</t>
        </is>
      </c>
      <c r="C85" s="15" t="inlineStr">
        <is>
          <t>Média</t>
        </is>
      </c>
      <c r="D85" s="15" t="inlineStr">
        <is>
          <t>-</t>
        </is>
      </c>
      <c r="E85" s="15" t="inlineStr">
        <is>
          <t>Sim</t>
        </is>
      </c>
      <c r="F85" s="15" t="inlineStr"/>
    </row>
    <row r="86">
      <c r="A86" s="11" t="inlineStr">
        <is>
          <t>Noções de Informática</t>
        </is>
      </c>
      <c r="B86" s="12" t="inlineStr">
        <is>
          <t>Sítios de busca e pesquisa</t>
        </is>
      </c>
      <c r="C86" s="11" t="inlineStr">
        <is>
          <t>Baixa</t>
        </is>
      </c>
      <c r="D86" s="11" t="inlineStr">
        <is>
          <t>-</t>
        </is>
      </c>
      <c r="E86" s="11" t="inlineStr">
        <is>
          <t>Não</t>
        </is>
      </c>
      <c r="F86" s="11" t="inlineStr"/>
    </row>
    <row r="87">
      <c r="A87" s="15" t="inlineStr">
        <is>
          <t>Noções de Informática</t>
        </is>
      </c>
      <c r="B87" s="16" t="inlineStr">
        <is>
          <t>Grupos de discussão e redes sociais</t>
        </is>
      </c>
      <c r="C87" s="15" t="inlineStr">
        <is>
          <t>Baixa</t>
        </is>
      </c>
      <c r="D87" s="15" t="inlineStr">
        <is>
          <t>-</t>
        </is>
      </c>
      <c r="E87" s="15" t="inlineStr">
        <is>
          <t>Não</t>
        </is>
      </c>
      <c r="F87" s="15" t="inlineStr"/>
    </row>
    <row r="88">
      <c r="A88" s="11" t="inlineStr">
        <is>
          <t>Noções de Informática</t>
        </is>
      </c>
      <c r="B88" s="12" t="inlineStr">
        <is>
          <t>Computação em nuvem (cloud computing)</t>
        </is>
      </c>
      <c r="C88" s="11" t="inlineStr">
        <is>
          <t>Alta</t>
        </is>
      </c>
      <c r="D88" s="11" t="inlineStr">
        <is>
          <t>🔥</t>
        </is>
      </c>
      <c r="E88" s="11" t="inlineStr">
        <is>
          <t>Não</t>
        </is>
      </c>
      <c r="F88" s="11" t="inlineStr"/>
    </row>
    <row r="89">
      <c r="A89" s="15" t="inlineStr">
        <is>
          <t>Noções de Informática</t>
        </is>
      </c>
      <c r="B89" s="16" t="inlineStr">
        <is>
          <t>Organização de arquivos, pastas e programas</t>
        </is>
      </c>
      <c r="C89" s="15" t="inlineStr">
        <is>
          <t>Média</t>
        </is>
      </c>
      <c r="D89" s="15" t="inlineStr">
        <is>
          <t>-</t>
        </is>
      </c>
      <c r="E89" s="15" t="inlineStr">
        <is>
          <t>Não</t>
        </is>
      </c>
      <c r="F89" s="15" t="inlineStr"/>
    </row>
    <row r="90">
      <c r="A90" s="11" t="inlineStr">
        <is>
          <t>Noções de Informática</t>
        </is>
      </c>
      <c r="B90" s="12" t="inlineStr">
        <is>
          <t>Segurança da informação: procedimentos</t>
        </is>
      </c>
      <c r="C90" s="11" t="inlineStr">
        <is>
          <t>Alta</t>
        </is>
      </c>
      <c r="D90" s="11" t="inlineStr">
        <is>
          <t>🔥</t>
        </is>
      </c>
      <c r="E90" s="11" t="inlineStr">
        <is>
          <t>Não</t>
        </is>
      </c>
      <c r="F90" s="11" t="inlineStr"/>
    </row>
    <row r="91">
      <c r="A91" s="15" t="inlineStr">
        <is>
          <t>Noções de Informática</t>
        </is>
      </c>
      <c r="B91" s="16" t="inlineStr">
        <is>
          <t>Vírus, worms e pragas virtuais</t>
        </is>
      </c>
      <c r="C91" s="15" t="inlineStr">
        <is>
          <t>Alta</t>
        </is>
      </c>
      <c r="D91" s="15" t="inlineStr">
        <is>
          <t>🔥</t>
        </is>
      </c>
      <c r="E91" s="15" t="inlineStr">
        <is>
          <t>Não</t>
        </is>
      </c>
      <c r="F91" s="15" t="inlineStr"/>
    </row>
    <row r="92">
      <c r="A92" s="11" t="inlineStr">
        <is>
          <t>Noções de Informática</t>
        </is>
      </c>
      <c r="B92" s="12" t="inlineStr">
        <is>
          <t>Antivírus, firewall e anti-spyware</t>
        </is>
      </c>
      <c r="C92" s="11" t="inlineStr">
        <is>
          <t>Média</t>
        </is>
      </c>
      <c r="D92" s="11" t="inlineStr">
        <is>
          <t>-</t>
        </is>
      </c>
      <c r="E92" s="11" t="inlineStr">
        <is>
          <t>Não</t>
        </is>
      </c>
      <c r="F92" s="11" t="inlineStr"/>
    </row>
    <row r="93">
      <c r="A93" s="15" t="inlineStr">
        <is>
          <t>Noções de Informática</t>
        </is>
      </c>
      <c r="B93" s="16" t="inlineStr">
        <is>
          <t>Backup e armazenamento em nuvem</t>
        </is>
      </c>
      <c r="C93" s="15" t="inlineStr">
        <is>
          <t>Alta</t>
        </is>
      </c>
      <c r="D93" s="15" t="inlineStr">
        <is>
          <t>🔥</t>
        </is>
      </c>
      <c r="E93" s="15" t="inlineStr">
        <is>
          <t>Não</t>
        </is>
      </c>
      <c r="F93" s="15" t="inlineStr"/>
    </row>
    <row r="94">
      <c r="A94" t="inlineStr">
        <is>
          <t>Simulado Geral</t>
        </is>
      </c>
      <c r="B94" t="inlineStr">
        <is>
          <t>Simulado completo (ver aba Simulado Semanal)</t>
        </is>
      </c>
      <c r="C94" t="inlineStr">
        <is>
          <t>Alta</t>
        </is>
      </c>
      <c r="D94" t="inlineStr">
        <is>
          <t>Não</t>
        </is>
      </c>
      <c r="E94" t="inlineStr">
        <is>
          <t>Sim</t>
        </is>
      </c>
      <c r="F94" t="inlineStr">
        <is>
          <t>Simulado / Revisão em Lote</t>
        </is>
      </c>
    </row>
  </sheetData>
  <conditionalFormatting sqref="E2:E93">
    <cfRule type="cellIs" priority="1" operator="equal" dxfId="0">
      <formula>"Sim"</formula>
    </cfRule>
  </conditionalFormatting>
  <conditionalFormatting sqref="C2:C93">
    <cfRule type="cellIs" priority="2" operator="equal" dxfId="1">
      <formula>"Alta"</formula>
    </cfRule>
    <cfRule type="cellIs" priority="3" operator="equal" dxfId="2">
      <formula>"Média"</formula>
    </cfRule>
    <cfRule type="cellIs" priority="4" operator="equal" dxfId="0">
      <formula>"Baixa"</formula>
    </cfRule>
  </conditionalFormatting>
  <conditionalFormatting sqref="D2:D93">
    <cfRule type="cellIs" priority="5" operator="equal" dxfId="3">
      <formula>"🔥"</formula>
    </cfRule>
  </conditionalFormatting>
  <dataValidations count="1">
    <dataValidation sqref="E2:E93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45" customWidth="1" min="5" max="5"/>
  </cols>
  <sheetData>
    <row r="1" ht="32" customHeight="1">
      <c r="A1" s="9" t="inlineStr">
        <is>
          <t>Data</t>
        </is>
      </c>
      <c r="B1" s="9" t="inlineStr">
        <is>
          <t>Tipo de Treino</t>
        </is>
      </c>
      <c r="C1" s="9" t="inlineStr">
        <is>
          <t>Duração (min)</t>
        </is>
      </c>
      <c r="D1" s="9" t="inlineStr">
        <is>
          <t>Intensidade (1-5)</t>
        </is>
      </c>
      <c r="E1" s="9" t="inlineStr">
        <is>
          <t>Observações</t>
        </is>
      </c>
    </row>
    <row r="2">
      <c r="A2" s="18" t="n"/>
      <c r="B2" s="18" t="n"/>
      <c r="C2" s="18" t="n"/>
      <c r="D2" s="18" t="n"/>
      <c r="E2" s="18" t="n"/>
    </row>
    <row r="3">
      <c r="A3" s="19" t="n"/>
      <c r="B3" s="19" t="n"/>
      <c r="C3" s="19" t="n"/>
      <c r="D3" s="19" t="n"/>
      <c r="E3" s="19" t="n"/>
    </row>
    <row r="4">
      <c r="A4" s="18" t="n"/>
      <c r="B4" s="18" t="n"/>
      <c r="C4" s="18" t="n"/>
      <c r="D4" s="18" t="n"/>
      <c r="E4" s="18" t="n"/>
    </row>
    <row r="5">
      <c r="A5" s="19" t="n"/>
      <c r="B5" s="19" t="n"/>
      <c r="C5" s="19" t="n"/>
      <c r="D5" s="19" t="n"/>
      <c r="E5" s="19" t="n"/>
    </row>
    <row r="6">
      <c r="A6" s="18" t="n"/>
      <c r="B6" s="18" t="n"/>
      <c r="C6" s="18" t="n"/>
      <c r="D6" s="18" t="n"/>
      <c r="E6" s="18" t="n"/>
    </row>
    <row r="7">
      <c r="A7" s="19" t="n"/>
      <c r="B7" s="19" t="n"/>
      <c r="C7" s="19" t="n"/>
      <c r="D7" s="19" t="n"/>
      <c r="E7" s="19" t="n"/>
    </row>
    <row r="8">
      <c r="A8" s="18" t="n"/>
      <c r="B8" s="18" t="n"/>
      <c r="C8" s="18" t="n"/>
      <c r="D8" s="18" t="n"/>
      <c r="E8" s="18" t="n"/>
    </row>
    <row r="9">
      <c r="A9" s="19" t="n"/>
      <c r="B9" s="19" t="n"/>
      <c r="C9" s="19" t="n"/>
      <c r="D9" s="19" t="n"/>
      <c r="E9" s="19" t="n"/>
    </row>
    <row r="10">
      <c r="A10" s="18" t="n"/>
      <c r="B10" s="18" t="n"/>
      <c r="C10" s="18" t="n"/>
      <c r="D10" s="18" t="n"/>
      <c r="E10" s="18" t="n"/>
    </row>
    <row r="11">
      <c r="A11" s="19" t="n"/>
      <c r="B11" s="19" t="n"/>
      <c r="C11" s="19" t="n"/>
      <c r="D11" s="19" t="n"/>
      <c r="E11" s="19" t="n"/>
    </row>
    <row r="12">
      <c r="A12" s="18" t="n"/>
      <c r="B12" s="18" t="n"/>
      <c r="C12" s="18" t="n"/>
      <c r="D12" s="18" t="n"/>
      <c r="E12" s="18" t="n"/>
    </row>
    <row r="13">
      <c r="A13" s="19" t="n"/>
      <c r="B13" s="19" t="n"/>
      <c r="C13" s="19" t="n"/>
      <c r="D13" s="19" t="n"/>
      <c r="E13" s="19" t="n"/>
    </row>
    <row r="14">
      <c r="A14" s="18" t="n"/>
      <c r="B14" s="18" t="n"/>
      <c r="C14" s="18" t="n"/>
      <c r="D14" s="18" t="n"/>
      <c r="E14" s="18" t="n"/>
    </row>
    <row r="15">
      <c r="A15" s="19" t="n"/>
      <c r="B15" s="19" t="n"/>
      <c r="C15" s="19" t="n"/>
      <c r="D15" s="19" t="n"/>
      <c r="E15" s="19" t="n"/>
    </row>
    <row r="16">
      <c r="A16" s="18" t="n"/>
      <c r="B16" s="18" t="n"/>
      <c r="C16" s="18" t="n"/>
      <c r="D16" s="18" t="n"/>
      <c r="E16" s="18" t="n"/>
    </row>
    <row r="17">
      <c r="A17" s="19" t="n"/>
      <c r="B17" s="19" t="n"/>
      <c r="C17" s="19" t="n"/>
      <c r="D17" s="19" t="n"/>
      <c r="E17" s="19" t="n"/>
    </row>
    <row r="18">
      <c r="A18" s="18" t="n"/>
      <c r="B18" s="18" t="n"/>
      <c r="C18" s="18" t="n"/>
      <c r="D18" s="18" t="n"/>
      <c r="E18" s="18" t="n"/>
    </row>
    <row r="19">
      <c r="A19" s="19" t="n"/>
      <c r="B19" s="19" t="n"/>
      <c r="C19" s="19" t="n"/>
      <c r="D19" s="19" t="n"/>
      <c r="E19" s="19" t="n"/>
    </row>
    <row r="20">
      <c r="A20" s="18" t="n"/>
      <c r="B20" s="18" t="n"/>
      <c r="C20" s="18" t="n"/>
      <c r="D20" s="18" t="n"/>
      <c r="E20" s="18" t="n"/>
    </row>
    <row r="21">
      <c r="A21" s="19" t="n"/>
      <c r="B21" s="19" t="n"/>
      <c r="C21" s="19" t="n"/>
      <c r="D21" s="19" t="n"/>
      <c r="E21" s="19" t="n"/>
    </row>
    <row r="22">
      <c r="A22" s="18" t="n"/>
      <c r="B22" s="18" t="n"/>
      <c r="C22" s="18" t="n"/>
      <c r="D22" s="18" t="n"/>
      <c r="E22" s="18" t="n"/>
    </row>
    <row r="23">
      <c r="A23" s="19" t="n"/>
      <c r="B23" s="19" t="n"/>
      <c r="C23" s="19" t="n"/>
      <c r="D23" s="19" t="n"/>
      <c r="E23" s="19" t="n"/>
    </row>
    <row r="24">
      <c r="A24" s="18" t="n"/>
      <c r="B24" s="18" t="n"/>
      <c r="C24" s="18" t="n"/>
      <c r="D24" s="18" t="n"/>
      <c r="E24" s="18" t="n"/>
    </row>
    <row r="25">
      <c r="A25" s="19" t="n"/>
      <c r="B25" s="19" t="n"/>
      <c r="C25" s="19" t="n"/>
      <c r="D25" s="19" t="n"/>
      <c r="E25" s="19" t="n"/>
    </row>
    <row r="26">
      <c r="A26" s="18" t="n"/>
      <c r="B26" s="18" t="n"/>
      <c r="C26" s="18" t="n"/>
      <c r="D26" s="18" t="n"/>
      <c r="E26" s="18" t="n"/>
    </row>
    <row r="27">
      <c r="A27" s="19" t="n"/>
      <c r="B27" s="19" t="n"/>
      <c r="C27" s="19" t="n"/>
      <c r="D27" s="19" t="n"/>
      <c r="E27" s="19" t="n"/>
    </row>
    <row r="28">
      <c r="A28" s="18" t="n"/>
      <c r="B28" s="18" t="n"/>
      <c r="C28" s="18" t="n"/>
      <c r="D28" s="18" t="n"/>
      <c r="E28" s="18" t="n"/>
    </row>
    <row r="29">
      <c r="A29" s="19" t="n"/>
      <c r="B29" s="19" t="n"/>
      <c r="C29" s="19" t="n"/>
      <c r="D29" s="19" t="n"/>
      <c r="E29" s="19" t="n"/>
    </row>
    <row r="30">
      <c r="A30" s="18" t="n"/>
      <c r="B30" s="18" t="n"/>
      <c r="C30" s="18" t="n"/>
      <c r="D30" s="18" t="n"/>
      <c r="E30" s="18" t="n"/>
    </row>
    <row r="31">
      <c r="A31" s="19" t="n"/>
      <c r="B31" s="19" t="n"/>
      <c r="C31" s="19" t="n"/>
      <c r="D31" s="19" t="n"/>
      <c r="E31" s="19" t="n"/>
    </row>
    <row r="32">
      <c r="A32" s="18" t="n"/>
      <c r="B32" s="18" t="n"/>
      <c r="C32" s="18" t="n"/>
      <c r="D32" s="18" t="n"/>
      <c r="E32" s="18" t="n"/>
    </row>
    <row r="33">
      <c r="A33" s="19" t="n"/>
      <c r="B33" s="19" t="n"/>
      <c r="C33" s="19" t="n"/>
      <c r="D33" s="19" t="n"/>
      <c r="E33" s="19" t="n"/>
    </row>
    <row r="34">
      <c r="A34" s="18" t="n"/>
      <c r="B34" s="18" t="n"/>
      <c r="C34" s="18" t="n"/>
      <c r="D34" s="18" t="n"/>
      <c r="E34" s="18" t="n"/>
    </row>
    <row r="35">
      <c r="A35" s="19" t="n"/>
      <c r="B35" s="19" t="n"/>
      <c r="C35" s="19" t="n"/>
      <c r="D35" s="19" t="n"/>
      <c r="E35" s="19" t="n"/>
    </row>
    <row r="36">
      <c r="A36" s="18" t="n"/>
      <c r="B36" s="18" t="n"/>
      <c r="C36" s="18" t="n"/>
      <c r="D36" s="18" t="n"/>
      <c r="E36" s="18" t="n"/>
    </row>
    <row r="37">
      <c r="A37" s="19" t="n"/>
      <c r="B37" s="19" t="n"/>
      <c r="C37" s="19" t="n"/>
      <c r="D37" s="19" t="n"/>
      <c r="E37" s="19" t="n"/>
    </row>
    <row r="38">
      <c r="A38" s="18" t="n"/>
      <c r="B38" s="18" t="n"/>
      <c r="C38" s="18" t="n"/>
      <c r="D38" s="18" t="n"/>
      <c r="E38" s="18" t="n"/>
    </row>
    <row r="39">
      <c r="A39" s="19" t="n"/>
      <c r="B39" s="19" t="n"/>
      <c r="C39" s="19" t="n"/>
      <c r="D39" s="19" t="n"/>
      <c r="E39" s="19" t="n"/>
    </row>
    <row r="40">
      <c r="A40" s="18" t="n"/>
      <c r="B40" s="18" t="n"/>
      <c r="C40" s="18" t="n"/>
      <c r="D40" s="18" t="n"/>
      <c r="E40" s="18" t="n"/>
    </row>
    <row r="41">
      <c r="A41" s="19" t="n"/>
      <c r="B41" s="19" t="n"/>
      <c r="C41" s="19" t="n"/>
      <c r="D41" s="19" t="n"/>
      <c r="E41" s="19" t="n"/>
    </row>
    <row r="42">
      <c r="A42" s="18" t="n"/>
      <c r="B42" s="18" t="n"/>
      <c r="C42" s="18" t="n"/>
      <c r="D42" s="18" t="n"/>
      <c r="E42" s="18" t="n"/>
    </row>
    <row r="43">
      <c r="A43" s="19" t="n"/>
      <c r="B43" s="19" t="n"/>
      <c r="C43" s="19" t="n"/>
      <c r="D43" s="19" t="n"/>
      <c r="E43" s="19" t="n"/>
    </row>
    <row r="44">
      <c r="A44" s="18" t="n"/>
      <c r="B44" s="18" t="n"/>
      <c r="C44" s="18" t="n"/>
      <c r="D44" s="18" t="n"/>
      <c r="E44" s="18" t="n"/>
    </row>
    <row r="45">
      <c r="A45" s="19" t="n"/>
      <c r="B45" s="19" t="n"/>
      <c r="C45" s="19" t="n"/>
      <c r="D45" s="19" t="n"/>
      <c r="E45" s="19" t="n"/>
    </row>
    <row r="46">
      <c r="A46" s="18" t="n"/>
      <c r="B46" s="18" t="n"/>
      <c r="C46" s="18" t="n"/>
      <c r="D46" s="18" t="n"/>
      <c r="E46" s="18" t="n"/>
    </row>
    <row r="47">
      <c r="A47" s="19" t="n"/>
      <c r="B47" s="19" t="n"/>
      <c r="C47" s="19" t="n"/>
      <c r="D47" s="19" t="n"/>
      <c r="E47" s="19" t="n"/>
    </row>
    <row r="48">
      <c r="A48" s="18" t="n"/>
      <c r="B48" s="18" t="n"/>
      <c r="C48" s="18" t="n"/>
      <c r="D48" s="18" t="n"/>
      <c r="E48" s="18" t="n"/>
    </row>
    <row r="49">
      <c r="A49" s="19" t="n"/>
      <c r="B49" s="19" t="n"/>
      <c r="C49" s="19" t="n"/>
      <c r="D49" s="19" t="n"/>
      <c r="E49" s="19" t="n"/>
    </row>
    <row r="50">
      <c r="A50" s="18" t="n"/>
      <c r="B50" s="18" t="n"/>
      <c r="C50" s="18" t="n"/>
      <c r="D50" s="18" t="n"/>
      <c r="E50" s="18" t="n"/>
    </row>
    <row r="51">
      <c r="A51" s="19" t="n"/>
      <c r="B51" s="19" t="n"/>
      <c r="C51" s="19" t="n"/>
      <c r="D51" s="19" t="n"/>
      <c r="E51" s="19" t="n"/>
    </row>
    <row r="52">
      <c r="A52" s="18" t="n"/>
      <c r="B52" s="18" t="n"/>
      <c r="C52" s="18" t="n"/>
      <c r="D52" s="18" t="n"/>
      <c r="E52" s="18" t="n"/>
    </row>
    <row r="53">
      <c r="A53" s="19" t="n"/>
      <c r="B53" s="19" t="n"/>
      <c r="C53" s="19" t="n"/>
      <c r="D53" s="19" t="n"/>
      <c r="E53" s="19" t="n"/>
    </row>
    <row r="54">
      <c r="A54" s="18" t="n"/>
      <c r="B54" s="18" t="n"/>
      <c r="C54" s="18" t="n"/>
      <c r="D54" s="18" t="n"/>
      <c r="E54" s="18" t="n"/>
    </row>
    <row r="55">
      <c r="A55" s="19" t="n"/>
      <c r="B55" s="19" t="n"/>
      <c r="C55" s="19" t="n"/>
      <c r="D55" s="19" t="n"/>
      <c r="E55" s="19" t="n"/>
    </row>
    <row r="56">
      <c r="A56" s="18" t="n"/>
      <c r="B56" s="18" t="n"/>
      <c r="C56" s="18" t="n"/>
      <c r="D56" s="18" t="n"/>
      <c r="E56" s="18" t="n"/>
    </row>
    <row r="57">
      <c r="A57" s="19" t="n"/>
      <c r="B57" s="19" t="n"/>
      <c r="C57" s="19" t="n"/>
      <c r="D57" s="19" t="n"/>
      <c r="E57" s="19" t="n"/>
    </row>
    <row r="58">
      <c r="A58" s="18" t="n"/>
      <c r="B58" s="18" t="n"/>
      <c r="C58" s="18" t="n"/>
      <c r="D58" s="18" t="n"/>
      <c r="E58" s="18" t="n"/>
    </row>
    <row r="59">
      <c r="A59" s="19" t="n"/>
      <c r="B59" s="19" t="n"/>
      <c r="C59" s="19" t="n"/>
      <c r="D59" s="19" t="n"/>
      <c r="E59" s="19" t="n"/>
    </row>
  </sheetData>
  <dataValidations count="1">
    <dataValidation sqref="B2:B60" showDropDown="0" showInputMessage="0" showErrorMessage="0" allowBlank="1" type="list">
      <formula1>"Corrida,Musculação,Barra/Flexão,Abdominal,Natação,Treino Funcional,Descanso Ativo,Outro"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4" customWidth="1" min="4" max="4"/>
    <col width="20" customWidth="1" min="5" max="5"/>
    <col width="14" customWidth="1" min="6" max="6"/>
    <col width="35" customWidth="1" min="7" max="7"/>
  </cols>
  <sheetData>
    <row r="1" ht="32" customHeight="1">
      <c r="A1" s="9" t="inlineStr">
        <is>
          <t>Data</t>
        </is>
      </c>
      <c r="B1" s="9" t="inlineStr">
        <is>
          <t>Barra (repetições)</t>
        </is>
      </c>
      <c r="C1" s="9" t="inlineStr">
        <is>
          <t>Meio Sugado (reps/1min)</t>
        </is>
      </c>
      <c r="D1" s="9" t="inlineStr">
        <is>
          <t>Abdominal Remador (reps/1min)</t>
        </is>
      </c>
      <c r="E1" s="9" t="inlineStr">
        <is>
          <t>Corrida 12min (metros)</t>
        </is>
      </c>
      <c r="F1" s="9" t="inlineStr">
        <is>
          <t>Status Geral</t>
        </is>
      </c>
      <c r="G1" s="9" t="inlineStr">
        <is>
          <t>Observações</t>
        </is>
      </c>
    </row>
    <row r="2">
      <c r="A2" s="18" t="n"/>
      <c r="B2" s="18" t="n"/>
      <c r="C2" s="18" t="n"/>
      <c r="D2" s="18" t="n"/>
      <c r="E2" s="18" t="n"/>
      <c r="F2" s="18">
        <f>IF(AND(B2&gt;=4,C2&gt;=25,D2&gt;=35,E2&gt;=2200),"Apto","Abaixo")</f>
        <v/>
      </c>
      <c r="G2" s="18" t="n"/>
    </row>
    <row r="3">
      <c r="A3" s="19" t="n"/>
      <c r="B3" s="19" t="n"/>
      <c r="C3" s="19" t="n"/>
      <c r="D3" s="19" t="n"/>
      <c r="E3" s="19" t="n"/>
      <c r="F3" s="19">
        <f>IF(AND(B3&gt;=4,C3&gt;=25,D3&gt;=35,E3&gt;=2200),"Apto","Abaixo")</f>
        <v/>
      </c>
      <c r="G3" s="19" t="n"/>
    </row>
    <row r="4">
      <c r="A4" s="18" t="n"/>
      <c r="B4" s="18" t="n"/>
      <c r="C4" s="18" t="n"/>
      <c r="D4" s="18" t="n"/>
      <c r="E4" s="18" t="n"/>
      <c r="F4" s="18">
        <f>IF(AND(B4&gt;=4,C4&gt;=25,D4&gt;=35,E4&gt;=2200),"Apto","Abaixo")</f>
        <v/>
      </c>
      <c r="G4" s="18" t="n"/>
    </row>
    <row r="5">
      <c r="A5" s="19" t="n"/>
      <c r="B5" s="19" t="n"/>
      <c r="C5" s="19" t="n"/>
      <c r="D5" s="19" t="n"/>
      <c r="E5" s="19" t="n"/>
      <c r="F5" s="19">
        <f>IF(AND(B5&gt;=4,C5&gt;=25,D5&gt;=35,E5&gt;=2200),"Apto","Abaixo")</f>
        <v/>
      </c>
      <c r="G5" s="19" t="n"/>
    </row>
    <row r="6">
      <c r="A6" s="18" t="n"/>
      <c r="B6" s="18" t="n"/>
      <c r="C6" s="18" t="n"/>
      <c r="D6" s="18" t="n"/>
      <c r="E6" s="18" t="n"/>
      <c r="F6" s="18">
        <f>IF(AND(B6&gt;=4,C6&gt;=25,D6&gt;=35,E6&gt;=2200),"Apto","Abaixo")</f>
        <v/>
      </c>
      <c r="G6" s="18" t="n"/>
    </row>
    <row r="7">
      <c r="A7" s="19" t="n"/>
      <c r="B7" s="19" t="n"/>
      <c r="C7" s="19" t="n"/>
      <c r="D7" s="19" t="n"/>
      <c r="E7" s="19" t="n"/>
      <c r="F7" s="19">
        <f>IF(AND(B7&gt;=4,C7&gt;=25,D7&gt;=35,E7&gt;=2200),"Apto","Abaixo")</f>
        <v/>
      </c>
      <c r="G7" s="19" t="n"/>
    </row>
    <row r="8">
      <c r="A8" s="18" t="n"/>
      <c r="B8" s="18" t="n"/>
      <c r="C8" s="18" t="n"/>
      <c r="D8" s="18" t="n"/>
      <c r="E8" s="18" t="n"/>
      <c r="F8" s="18">
        <f>IF(AND(B8&gt;=4,C8&gt;=25,D8&gt;=35,E8&gt;=2200),"Apto","Abaixo")</f>
        <v/>
      </c>
      <c r="G8" s="18" t="n"/>
    </row>
    <row r="9">
      <c r="A9" s="19" t="n"/>
      <c r="B9" s="19" t="n"/>
      <c r="C9" s="19" t="n"/>
      <c r="D9" s="19" t="n"/>
      <c r="E9" s="19" t="n"/>
      <c r="F9" s="19">
        <f>IF(AND(B9&gt;=4,C9&gt;=25,D9&gt;=35,E9&gt;=2200),"Apto","Abaixo")</f>
        <v/>
      </c>
      <c r="G9" s="19" t="n"/>
    </row>
    <row r="10">
      <c r="A10" s="18" t="n"/>
      <c r="B10" s="18" t="n"/>
      <c r="C10" s="18" t="n"/>
      <c r="D10" s="18" t="n"/>
      <c r="E10" s="18" t="n"/>
      <c r="F10" s="18">
        <f>IF(AND(B10&gt;=4,C10&gt;=25,D10&gt;=35,E10&gt;=2200),"Apto","Abaixo")</f>
        <v/>
      </c>
      <c r="G10" s="18" t="n"/>
    </row>
    <row r="11">
      <c r="A11" s="19" t="n"/>
      <c r="B11" s="19" t="n"/>
      <c r="C11" s="19" t="n"/>
      <c r="D11" s="19" t="n"/>
      <c r="E11" s="19" t="n"/>
      <c r="F11" s="19">
        <f>IF(AND(B11&gt;=4,C11&gt;=25,D11&gt;=35,E11&gt;=2200),"Apto","Abaixo")</f>
        <v/>
      </c>
      <c r="G11" s="19" t="n"/>
    </row>
    <row r="12">
      <c r="A12" s="18" t="n"/>
      <c r="B12" s="18" t="n"/>
      <c r="C12" s="18" t="n"/>
      <c r="D12" s="18" t="n"/>
      <c r="E12" s="18" t="n"/>
      <c r="F12" s="18">
        <f>IF(AND(B12&gt;=4,C12&gt;=25,D12&gt;=35,E12&gt;=2200),"Apto","Abaixo")</f>
        <v/>
      </c>
      <c r="G12" s="18" t="n"/>
    </row>
    <row r="13">
      <c r="A13" s="19" t="n"/>
      <c r="B13" s="19" t="n"/>
      <c r="C13" s="19" t="n"/>
      <c r="D13" s="19" t="n"/>
      <c r="E13" s="19" t="n"/>
      <c r="F13" s="19">
        <f>IF(AND(B13&gt;=4,C13&gt;=25,D13&gt;=35,E13&gt;=2200),"Apto","Abaixo")</f>
        <v/>
      </c>
      <c r="G13" s="19" t="n"/>
    </row>
    <row r="14">
      <c r="A14" s="18" t="n"/>
      <c r="B14" s="18" t="n"/>
      <c r="C14" s="18" t="n"/>
      <c r="D14" s="18" t="n"/>
      <c r="E14" s="18" t="n"/>
      <c r="F14" s="18">
        <f>IF(AND(B14&gt;=4,C14&gt;=25,D14&gt;=35,E14&gt;=2200),"Apto","Abaixo")</f>
        <v/>
      </c>
      <c r="G14" s="18" t="n"/>
    </row>
    <row r="15">
      <c r="A15" s="19" t="n"/>
      <c r="B15" s="19" t="n"/>
      <c r="C15" s="19" t="n"/>
      <c r="D15" s="19" t="n"/>
      <c r="E15" s="19" t="n"/>
      <c r="F15" s="19">
        <f>IF(AND(B15&gt;=4,C15&gt;=25,D15&gt;=35,E15&gt;=2200),"Apto","Abaixo")</f>
        <v/>
      </c>
      <c r="G15" s="19" t="n"/>
    </row>
    <row r="16">
      <c r="A16" s="18" t="n"/>
      <c r="B16" s="18" t="n"/>
      <c r="C16" s="18" t="n"/>
      <c r="D16" s="18" t="n"/>
      <c r="E16" s="18" t="n"/>
      <c r="F16" s="18">
        <f>IF(AND(B16&gt;=4,C16&gt;=25,D16&gt;=35,E16&gt;=2200),"Apto","Abaixo")</f>
        <v/>
      </c>
      <c r="G16" s="18" t="n"/>
    </row>
    <row r="17">
      <c r="A17" s="19" t="n"/>
      <c r="B17" s="19" t="n"/>
      <c r="C17" s="19" t="n"/>
      <c r="D17" s="19" t="n"/>
      <c r="E17" s="19" t="n"/>
      <c r="F17" s="19">
        <f>IF(AND(B17&gt;=4,C17&gt;=25,D17&gt;=35,E17&gt;=2200),"Apto","Abaixo")</f>
        <v/>
      </c>
      <c r="G17" s="19" t="n"/>
    </row>
    <row r="18">
      <c r="A18" s="18" t="n"/>
      <c r="B18" s="18" t="n"/>
      <c r="C18" s="18" t="n"/>
      <c r="D18" s="18" t="n"/>
      <c r="E18" s="18" t="n"/>
      <c r="F18" s="18">
        <f>IF(AND(B18&gt;=4,C18&gt;=25,D18&gt;=35,E18&gt;=2200),"Apto","Abaixo")</f>
        <v/>
      </c>
      <c r="G18" s="18" t="n"/>
    </row>
    <row r="19">
      <c r="A19" s="19" t="n"/>
      <c r="B19" s="19" t="n"/>
      <c r="C19" s="19" t="n"/>
      <c r="D19" s="19" t="n"/>
      <c r="E19" s="19" t="n"/>
      <c r="F19" s="19">
        <f>IF(AND(B19&gt;=4,C19&gt;=25,D19&gt;=35,E19&gt;=2200),"Apto","Abaixo")</f>
        <v/>
      </c>
      <c r="G19" s="19" t="n"/>
    </row>
    <row r="21">
      <c r="A21" s="20" t="inlineStr">
        <is>
          <t>Mínimos exigidos no edital (masculino):</t>
        </is>
      </c>
    </row>
    <row r="22">
      <c r="A22" s="20" t="inlineStr">
        <is>
          <t>Barra: 4 reps | Meio Sugado: 25 reps | Abdominal: 35 reps | Corrida 12min: 2.200m</t>
        </is>
      </c>
    </row>
  </sheetData>
  <conditionalFormatting sqref="F2:F19">
    <cfRule type="cellIs" priority="1" operator="equal" dxfId="0">
      <formula>"Apto"</formula>
    </cfRule>
    <cfRule type="cellIs" priority="2" operator="equal" dxfId="1">
      <formula>"Abaixo"</formula>
    </cfRule>
  </conditionalFormatting>
  <dataValidations count="1">
    <dataValidation sqref="F2:F19" showDropDown="0" showInputMessage="0" showErrorMessage="0" allowBlank="1" type="list">
      <formula1>"Apto,Abaixo"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22" customWidth="1" min="5" max="5"/>
    <col width="12" customWidth="1" min="6" max="6"/>
    <col width="16" customWidth="1" min="7" max="7"/>
    <col width="14" customWidth="1" min="8" max="8"/>
    <col width="35" customWidth="1" min="9" max="9"/>
  </cols>
  <sheetData>
    <row r="1" ht="32" customHeight="1">
      <c r="A1" s="9" t="inlineStr">
        <is>
          <t>Data</t>
        </is>
      </c>
      <c r="B1" s="9" t="inlineStr">
        <is>
          <t>Nº Simulado</t>
        </is>
      </c>
      <c r="C1" s="9" t="inlineStr">
        <is>
          <t>Qtd Questões P1 (Gerais)</t>
        </is>
      </c>
      <c r="D1" s="9" t="inlineStr">
        <is>
          <t>Acertos P1</t>
        </is>
      </c>
      <c r="E1" s="9" t="inlineStr">
        <is>
          <t>Qtd Questões P2 (Específicos)</t>
        </is>
      </c>
      <c r="F1" s="9" t="inlineStr">
        <is>
          <t>Acertos P2</t>
        </is>
      </c>
      <c r="G1" s="9" t="inlineStr">
        <is>
          <t>Nota Final (0-120)</t>
        </is>
      </c>
      <c r="H1" s="9" t="inlineStr">
        <is>
          <t>Tempo Gasto</t>
        </is>
      </c>
      <c r="I1" s="9" t="inlineStr">
        <is>
          <t>Observações</t>
        </is>
      </c>
    </row>
    <row r="2">
      <c r="A2" s="18" t="n"/>
      <c r="B2" s="18" t="n">
        <v>1</v>
      </c>
      <c r="C2" s="18" t="n"/>
      <c r="D2" s="18" t="n"/>
      <c r="E2" s="18" t="n"/>
      <c r="F2" s="18" t="n"/>
      <c r="G2" s="18">
        <f>IFERROR((D2-((C2-D2)))*1+((F2-(E2-F2))*1),"")</f>
        <v/>
      </c>
      <c r="H2" s="18" t="n"/>
      <c r="I2" s="18" t="n"/>
    </row>
    <row r="3">
      <c r="A3" s="19" t="n"/>
      <c r="B3" s="19" t="n">
        <v>2</v>
      </c>
      <c r="C3" s="19" t="n"/>
      <c r="D3" s="19" t="n"/>
      <c r="E3" s="19" t="n"/>
      <c r="F3" s="19" t="n"/>
      <c r="G3" s="19">
        <f>IFERROR((D3-((C3-D3)))*1+((F3-(E3-F3))*1),"")</f>
        <v/>
      </c>
      <c r="H3" s="19" t="n"/>
      <c r="I3" s="19" t="n"/>
    </row>
    <row r="4">
      <c r="A4" s="18" t="n"/>
      <c r="B4" s="18" t="n">
        <v>3</v>
      </c>
      <c r="C4" s="18" t="n"/>
      <c r="D4" s="18" t="n"/>
      <c r="E4" s="18" t="n"/>
      <c r="F4" s="18" t="n"/>
      <c r="G4" s="18">
        <f>IFERROR((D4-((C4-D4)))*1+((F4-(E4-F4))*1),"")</f>
        <v/>
      </c>
      <c r="H4" s="18" t="n"/>
      <c r="I4" s="18" t="n"/>
    </row>
    <row r="5">
      <c r="A5" s="19" t="n"/>
      <c r="B5" s="19" t="n">
        <v>4</v>
      </c>
      <c r="C5" s="19" t="n"/>
      <c r="D5" s="19" t="n"/>
      <c r="E5" s="19" t="n"/>
      <c r="F5" s="19" t="n"/>
      <c r="G5" s="19">
        <f>IFERROR((D5-((C5-D5)))*1+((F5-(E5-F5))*1),"")</f>
        <v/>
      </c>
      <c r="H5" s="19" t="n"/>
      <c r="I5" s="19" t="n"/>
    </row>
    <row r="6">
      <c r="A6" s="18" t="n"/>
      <c r="B6" s="18" t="n">
        <v>5</v>
      </c>
      <c r="C6" s="18" t="n"/>
      <c r="D6" s="18" t="n"/>
      <c r="E6" s="18" t="n"/>
      <c r="F6" s="18" t="n"/>
      <c r="G6" s="18">
        <f>IFERROR((D6-((C6-D6)))*1+((F6-(E6-F6))*1),"")</f>
        <v/>
      </c>
      <c r="H6" s="18" t="n"/>
      <c r="I6" s="18" t="n"/>
    </row>
    <row r="7">
      <c r="A7" s="19" t="n"/>
      <c r="B7" s="19" t="n">
        <v>6</v>
      </c>
      <c r="C7" s="19" t="n"/>
      <c r="D7" s="19" t="n"/>
      <c r="E7" s="19" t="n"/>
      <c r="F7" s="19" t="n"/>
      <c r="G7" s="19">
        <f>IFERROR((D7-((C7-D7)))*1+((F7-(E7-F7))*1),"")</f>
        <v/>
      </c>
      <c r="H7" s="19" t="n"/>
      <c r="I7" s="19" t="n"/>
    </row>
    <row r="8">
      <c r="A8" s="18" t="n"/>
      <c r="B8" s="18" t="n">
        <v>7</v>
      </c>
      <c r="C8" s="18" t="n"/>
      <c r="D8" s="18" t="n"/>
      <c r="E8" s="18" t="n"/>
      <c r="F8" s="18" t="n"/>
      <c r="G8" s="18">
        <f>IFERROR((D8-((C8-D8)))*1+((F8-(E8-F8))*1),"")</f>
        <v/>
      </c>
      <c r="H8" s="18" t="n"/>
      <c r="I8" s="18" t="n"/>
    </row>
    <row r="9">
      <c r="A9" s="19" t="n"/>
      <c r="B9" s="19" t="n">
        <v>8</v>
      </c>
      <c r="C9" s="19" t="n"/>
      <c r="D9" s="19" t="n"/>
      <c r="E9" s="19" t="n"/>
      <c r="F9" s="19" t="n"/>
      <c r="G9" s="19">
        <f>IFERROR((D9-((C9-D9)))*1+((F9-(E9-F9))*1),"")</f>
        <v/>
      </c>
      <c r="H9" s="19" t="n"/>
      <c r="I9" s="19" t="n"/>
    </row>
    <row r="10">
      <c r="A10" s="18" t="n"/>
      <c r="B10" s="18" t="n">
        <v>9</v>
      </c>
      <c r="C10" s="18" t="n"/>
      <c r="D10" s="18" t="n"/>
      <c r="E10" s="18" t="n"/>
      <c r="F10" s="18" t="n"/>
      <c r="G10" s="18">
        <f>IFERROR((D10-((C10-D10)))*1+((F10-(E10-F10))*1),"")</f>
        <v/>
      </c>
      <c r="H10" s="18" t="n"/>
      <c r="I10" s="18" t="n"/>
    </row>
    <row r="11">
      <c r="A11" s="19" t="n"/>
      <c r="B11" s="19" t="n">
        <v>10</v>
      </c>
      <c r="C11" s="19" t="n"/>
      <c r="D11" s="19" t="n"/>
      <c r="E11" s="19" t="n"/>
      <c r="F11" s="19" t="n"/>
      <c r="G11" s="19">
        <f>IFERROR((D11-((C11-D11)))*1+((F11-(E11-F11))*1),"")</f>
        <v/>
      </c>
      <c r="H11" s="19" t="n"/>
      <c r="I11" s="19" t="n"/>
    </row>
    <row r="12">
      <c r="A12" s="18" t="n"/>
      <c r="B12" s="18" t="n">
        <v>11</v>
      </c>
      <c r="C12" s="18" t="n"/>
      <c r="D12" s="18" t="n"/>
      <c r="E12" s="18" t="n"/>
      <c r="F12" s="18" t="n"/>
      <c r="G12" s="18">
        <f>IFERROR((D12-((C12-D12)))*1+((F12-(E12-F12))*1),"")</f>
        <v/>
      </c>
      <c r="H12" s="18" t="n"/>
      <c r="I12" s="18" t="n"/>
    </row>
    <row r="13">
      <c r="A13" s="19" t="n"/>
      <c r="B13" s="19" t="n">
        <v>12</v>
      </c>
      <c r="C13" s="19" t="n"/>
      <c r="D13" s="19" t="n"/>
      <c r="E13" s="19" t="n"/>
      <c r="F13" s="19" t="n"/>
      <c r="G13" s="19">
        <f>IFERROR((D13-((C13-D13)))*1+((F13-(E13-F13))*1),"")</f>
        <v/>
      </c>
      <c r="H13" s="19" t="n"/>
      <c r="I13" s="19" t="n"/>
    </row>
    <row r="14">
      <c r="A14" s="18" t="n"/>
      <c r="B14" s="18" t="n">
        <v>13</v>
      </c>
      <c r="C14" s="18" t="n"/>
      <c r="D14" s="18" t="n"/>
      <c r="E14" s="18" t="n"/>
      <c r="F14" s="18" t="n"/>
      <c r="G14" s="18">
        <f>IFERROR((D14-((C14-D14)))*1+((F14-(E14-F14))*1),"")</f>
        <v/>
      </c>
      <c r="H14" s="18" t="n"/>
      <c r="I14" s="18" t="n"/>
    </row>
    <row r="15">
      <c r="A15" s="19" t="n"/>
      <c r="B15" s="19" t="n">
        <v>14</v>
      </c>
      <c r="C15" s="19" t="n"/>
      <c r="D15" s="19" t="n"/>
      <c r="E15" s="19" t="n"/>
      <c r="F15" s="19" t="n"/>
      <c r="G15" s="19">
        <f>IFERROR((D15-((C15-D15)))*1+((F15-(E15-F15))*1),"")</f>
        <v/>
      </c>
      <c r="H15" s="19" t="n"/>
      <c r="I15" s="19" t="n"/>
    </row>
    <row r="16">
      <c r="A16" s="18" t="n"/>
      <c r="B16" s="18" t="n">
        <v>15</v>
      </c>
      <c r="C16" s="18" t="n"/>
      <c r="D16" s="18" t="n"/>
      <c r="E16" s="18" t="n"/>
      <c r="F16" s="18" t="n"/>
      <c r="G16" s="18">
        <f>IFERROR((D16-((C16-D16)))*1+((F16-(E16-F16))*1),"")</f>
        <v/>
      </c>
      <c r="H16" s="18" t="n"/>
      <c r="I16" s="18" t="n"/>
    </row>
    <row r="17">
      <c r="A17" s="19" t="n"/>
      <c r="B17" s="19" t="n">
        <v>16</v>
      </c>
      <c r="C17" s="19" t="n"/>
      <c r="D17" s="19" t="n"/>
      <c r="E17" s="19" t="n"/>
      <c r="F17" s="19" t="n"/>
      <c r="G17" s="19">
        <f>IFERROR((D17-((C17-D17)))*1+((F17-(E17-F17))*1),"")</f>
        <v/>
      </c>
      <c r="H17" s="19" t="n"/>
      <c r="I17" s="19" t="n"/>
    </row>
    <row r="18">
      <c r="A18" s="18" t="n"/>
      <c r="B18" s="18" t="n">
        <v>17</v>
      </c>
      <c r="C18" s="18" t="n"/>
      <c r="D18" s="18" t="n"/>
      <c r="E18" s="18" t="n"/>
      <c r="F18" s="18" t="n"/>
      <c r="G18" s="18">
        <f>IFERROR((D18-((C18-D18)))*1+((F18-(E18-F18))*1),"")</f>
        <v/>
      </c>
      <c r="H18" s="18" t="n"/>
      <c r="I18" s="18" t="n"/>
    </row>
    <row r="19">
      <c r="A19" s="19" t="n"/>
      <c r="B19" s="19" t="n">
        <v>18</v>
      </c>
      <c r="C19" s="19" t="n"/>
      <c r="D19" s="19" t="n"/>
      <c r="E19" s="19" t="n"/>
      <c r="F19" s="19" t="n"/>
      <c r="G19" s="19">
        <f>IFERROR((D19-((C19-D19)))*1+((F19-(E19-F19))*1),"")</f>
        <v/>
      </c>
      <c r="H19" s="19" t="n"/>
      <c r="I19" s="19" t="n"/>
    </row>
    <row r="20">
      <c r="A20" s="18" t="n"/>
      <c r="B20" s="18" t="n">
        <v>19</v>
      </c>
      <c r="C20" s="18" t="n"/>
      <c r="D20" s="18" t="n"/>
      <c r="E20" s="18" t="n"/>
      <c r="F20" s="18" t="n"/>
      <c r="G20" s="18">
        <f>IFERROR((D20-((C20-D20)))*1+((F20-(E20-F20))*1),"")</f>
        <v/>
      </c>
      <c r="H20" s="18" t="n"/>
      <c r="I20" s="18" t="n"/>
    </row>
    <row r="21">
      <c r="A21" s="19" t="n"/>
      <c r="B21" s="19" t="n">
        <v>20</v>
      </c>
      <c r="C21" s="19" t="n"/>
      <c r="D21" s="19" t="n"/>
      <c r="E21" s="19" t="n"/>
      <c r="F21" s="19" t="n"/>
      <c r="G21" s="19">
        <f>IFERROR((D21-((C21-D21)))*1+((F21-(E21-F21))*1),"")</f>
        <v/>
      </c>
      <c r="H21" s="19" t="n"/>
      <c r="I21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0" t="inlineStr">
        <is>
          <t>⚙️ Aba auxiliar — não precisa mexer aqui. Alimenta os gráficos do Dashboard.</t>
        </is>
      </c>
    </row>
    <row r="3">
      <c r="A3" s="8" t="inlineStr">
        <is>
          <t>Matéria</t>
        </is>
      </c>
      <c r="B3" s="8" t="inlineStr">
        <is>
          <t>Tópicos Estudados</t>
        </is>
      </c>
      <c r="C3" s="8" t="inlineStr">
        <is>
          <t>Total de Tópicos</t>
        </is>
      </c>
      <c r="D3" s="8" t="inlineStr">
        <is>
          <t>% Estudado</t>
        </is>
      </c>
      <c r="E3" s="8" t="inlineStr">
        <is>
          <t>Qtd Questões</t>
        </is>
      </c>
      <c r="F3" s="8" t="inlineStr">
        <is>
          <t>Acertos</t>
        </is>
      </c>
      <c r="G3" s="8" t="inlineStr">
        <is>
          <t>Taxa de Acerto</t>
        </is>
      </c>
    </row>
    <row r="4">
      <c r="A4" t="inlineStr">
        <is>
          <t>Língua Portuguesa</t>
        </is>
      </c>
      <c r="B4">
        <f>COUNTIFS(Controle_Edital!$A$2:$A$93,A4,Controle_Edital!$E$2:$E$93,"Sim")</f>
        <v/>
      </c>
      <c r="C4">
        <f>COUNTIF(Controle_Edital!$A$2:$A$93,A4)</f>
        <v/>
      </c>
      <c r="D4" s="21">
        <f>IFERROR(B4/C4,0)</f>
        <v/>
      </c>
      <c r="E4">
        <f>SUMIFS(Cronograma!$L$2:$L$156,Cronograma!$D$2:$D$156,A4)</f>
        <v/>
      </c>
      <c r="F4">
        <f>SUMIFS(Cronograma!$M$2:$M$156,Cronograma!$D$2:$D$156,A4)</f>
        <v/>
      </c>
      <c r="G4" s="21">
        <f>IFERROR(F4/E4,0)</f>
        <v/>
      </c>
    </row>
    <row r="5">
      <c r="A5" t="inlineStr">
        <is>
          <t>Legislação Institucional</t>
        </is>
      </c>
      <c r="B5">
        <f>COUNTIFS(Controle_Edital!$A$2:$A$93,A5,Controle_Edital!$E$2:$E$93,"Sim")</f>
        <v/>
      </c>
      <c r="C5">
        <f>COUNTIF(Controle_Edital!$A$2:$A$93,A5)</f>
        <v/>
      </c>
      <c r="D5" s="21">
        <f>IFERROR(B5/C5,0)</f>
        <v/>
      </c>
      <c r="E5">
        <f>SUMIFS(Cronograma!$L$2:$L$156,Cronograma!$D$2:$D$156,A5)</f>
        <v/>
      </c>
      <c r="F5">
        <f>SUMIFS(Cronograma!$M$2:$M$156,Cronograma!$D$2:$D$156,A5)</f>
        <v/>
      </c>
      <c r="G5" s="21">
        <f>IFERROR(F5/E5,0)</f>
        <v/>
      </c>
    </row>
    <row r="6">
      <c r="A6" t="inlineStr">
        <is>
          <t>História do Brasil</t>
        </is>
      </c>
      <c r="B6">
        <f>COUNTIFS(Controle_Edital!$A$2:$A$93,A6,Controle_Edital!$E$2:$E$93,"Sim")</f>
        <v/>
      </c>
      <c r="C6">
        <f>COUNTIF(Controle_Edital!$A$2:$A$93,A6)</f>
        <v/>
      </c>
      <c r="D6" s="21">
        <f>IFERROR(B6/C6,0)</f>
        <v/>
      </c>
      <c r="E6">
        <f>SUMIFS(Cronograma!$L$2:$L$156,Cronograma!$D$2:$D$156,A6)</f>
        <v/>
      </c>
      <c r="F6">
        <f>SUMIFS(Cronograma!$M$2:$M$156,Cronograma!$D$2:$D$156,A6)</f>
        <v/>
      </c>
      <c r="G6" s="21">
        <f>IFERROR(F6/E6,0)</f>
        <v/>
      </c>
    </row>
    <row r="7">
      <c r="A7" t="inlineStr">
        <is>
          <t>História do Maranhão</t>
        </is>
      </c>
      <c r="B7">
        <f>COUNTIFS(Controle_Edital!$A$2:$A$93,A7,Controle_Edital!$E$2:$E$93,"Sim")</f>
        <v/>
      </c>
      <c r="C7">
        <f>COUNTIF(Controle_Edital!$A$2:$A$93,A7)</f>
        <v/>
      </c>
      <c r="D7" s="21">
        <f>IFERROR(B7/C7,0)</f>
        <v/>
      </c>
      <c r="E7">
        <f>SUMIFS(Cronograma!$L$2:$L$156,Cronograma!$D$2:$D$156,A7)</f>
        <v/>
      </c>
      <c r="F7">
        <f>SUMIFS(Cronograma!$M$2:$M$156,Cronograma!$D$2:$D$156,A7)</f>
        <v/>
      </c>
      <c r="G7" s="21">
        <f>IFERROR(F7/E7,0)</f>
        <v/>
      </c>
    </row>
    <row r="8">
      <c r="A8" t="inlineStr">
        <is>
          <t>Geografia do Brasil</t>
        </is>
      </c>
      <c r="B8">
        <f>COUNTIFS(Controle_Edital!$A$2:$A$93,A8,Controle_Edital!$E$2:$E$93,"Sim")</f>
        <v/>
      </c>
      <c r="C8">
        <f>COUNTIF(Controle_Edital!$A$2:$A$93,A8)</f>
        <v/>
      </c>
      <c r="D8" s="21">
        <f>IFERROR(B8/C8,0)</f>
        <v/>
      </c>
      <c r="E8">
        <f>SUMIFS(Cronograma!$L$2:$L$156,Cronograma!$D$2:$D$156,A8)</f>
        <v/>
      </c>
      <c r="F8">
        <f>SUMIFS(Cronograma!$M$2:$M$156,Cronograma!$D$2:$D$156,A8)</f>
        <v/>
      </c>
      <c r="G8" s="21">
        <f>IFERROR(F8/E8,0)</f>
        <v/>
      </c>
    </row>
    <row r="9">
      <c r="A9" t="inlineStr">
        <is>
          <t>Geografia do Maranhão</t>
        </is>
      </c>
      <c r="B9">
        <f>COUNTIFS(Controle_Edital!$A$2:$A$93,A9,Controle_Edital!$E$2:$E$93,"Sim")</f>
        <v/>
      </c>
      <c r="C9">
        <f>COUNTIF(Controle_Edital!$A$2:$A$93,A9)</f>
        <v/>
      </c>
      <c r="D9" s="21">
        <f>IFERROR(B9/C9,0)</f>
        <v/>
      </c>
      <c r="E9">
        <f>SUMIFS(Cronograma!$L$2:$L$156,Cronograma!$D$2:$D$156,A9)</f>
        <v/>
      </c>
      <c r="F9">
        <f>SUMIFS(Cronograma!$M$2:$M$156,Cronograma!$D$2:$D$156,A9)</f>
        <v/>
      </c>
      <c r="G9" s="21">
        <f>IFERROR(F9/E9,0)</f>
        <v/>
      </c>
    </row>
    <row r="10">
      <c r="A10" t="inlineStr">
        <is>
          <t>Raciocínio Lógico</t>
        </is>
      </c>
      <c r="B10">
        <f>COUNTIFS(Controle_Edital!$A$2:$A$93,A10,Controle_Edital!$E$2:$E$93,"Sim")</f>
        <v/>
      </c>
      <c r="C10">
        <f>COUNTIF(Controle_Edital!$A$2:$A$93,A10)</f>
        <v/>
      </c>
      <c r="D10" s="21">
        <f>IFERROR(B10/C10,0)</f>
        <v/>
      </c>
      <c r="E10">
        <f>SUMIFS(Cronograma!$L$2:$L$156,Cronograma!$D$2:$D$156,A10)</f>
        <v/>
      </c>
      <c r="F10">
        <f>SUMIFS(Cronograma!$M$2:$M$156,Cronograma!$D$2:$D$156,A10)</f>
        <v/>
      </c>
      <c r="G10" s="21">
        <f>IFERROR(F10/E10,0)</f>
        <v/>
      </c>
    </row>
    <row r="11">
      <c r="A11" t="inlineStr">
        <is>
          <t>Noções de Informática</t>
        </is>
      </c>
      <c r="B11">
        <f>COUNTIFS(Controle_Edital!$A$2:$A$93,A11,Controle_Edital!$E$2:$E$93,"Sim")</f>
        <v/>
      </c>
      <c r="C11">
        <f>COUNTIF(Controle_Edital!$A$2:$A$93,A11)</f>
        <v/>
      </c>
      <c r="D11" s="21">
        <f>IFERROR(B11/C11,0)</f>
        <v/>
      </c>
      <c r="E11">
        <f>SUMIFS(Cronograma!$L$2:$L$156,Cronograma!$D$2:$D$156,A11)</f>
        <v/>
      </c>
      <c r="F11">
        <f>SUMIFS(Cronograma!$M$2:$M$156,Cronograma!$D$2:$D$156,A11)</f>
        <v/>
      </c>
      <c r="G11" s="21">
        <f>IFERROR(F11/E11,0)</f>
        <v/>
      </c>
    </row>
    <row r="14">
      <c r="A14" t="inlineStr">
        <is>
          <t>Resumo Geral</t>
        </is>
      </c>
    </row>
    <row r="15">
      <c r="A15" t="inlineStr">
        <is>
          <t>Estudado</t>
        </is>
      </c>
      <c r="B15">
        <f>COUNTIF(Controle_Edital!E2:E93,"Sim")</f>
        <v/>
      </c>
    </row>
    <row r="16">
      <c r="A16" t="inlineStr">
        <is>
          <t>Pendente</t>
        </is>
      </c>
      <c r="B16">
        <f>COUNTIF(Controle_Edital!E2:E93,"Não")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Matéria</t>
        </is>
      </c>
      <c r="C1" t="inlineStr">
        <is>
          <t>Assunto</t>
        </is>
      </c>
      <c r="D1" t="inlineStr">
        <is>
          <t>Tipo</t>
        </is>
      </c>
      <c r="E1" t="inlineStr">
        <is>
          <t>Tempo (min)</t>
        </is>
      </c>
      <c r="F1" t="inlineStr">
        <is>
          <t>Qtd Questões</t>
        </is>
      </c>
      <c r="G1" t="inlineStr">
        <is>
          <t>Acertos</t>
        </is>
      </c>
      <c r="H1" t="inlineStr">
        <is>
          <t>Erros</t>
        </is>
      </c>
      <c r="I1" t="inlineStr">
        <is>
          <t>Aproveitamento</t>
        </is>
      </c>
      <c r="J1" t="inlineStr">
        <is>
          <t>Anotações</t>
        </is>
      </c>
    </row>
    <row r="2">
      <c r="A2" t="inlineStr">
        <is>
          <t>11/08/2026</t>
        </is>
      </c>
      <c r="B2" t="inlineStr">
        <is>
          <t>Legislação Institucional</t>
        </is>
      </c>
      <c r="C2" t="inlineStr">
        <is>
          <t>Estatuto 6.513/95: Hierarquia, disciplina, postos e graduações</t>
        </is>
      </c>
      <c r="D2" t="inlineStr">
        <is>
          <t>Teoria + Questões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11/08/2026</t>
        </is>
      </c>
      <c r="B3" t="inlineStr">
        <is>
          <t>Legislação Institucional</t>
        </is>
      </c>
      <c r="C3" t="inlineStr">
        <is>
          <t>Estatuto 6.513/95: Direitos, deveres e ética policial-militar</t>
        </is>
      </c>
      <c r="D3" t="inlineStr">
        <is>
          <t>Teoria + Questões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11/08/2026</t>
        </is>
      </c>
      <c r="B4" t="inlineStr">
        <is>
          <t>Legislação Institucional</t>
        </is>
      </c>
      <c r="C4" t="inlineStr">
        <is>
          <t>Estatuto 6.513/95: Ingresso, carreira e situações do PM</t>
        </is>
      </c>
      <c r="D4" t="inlineStr">
        <is>
          <t>Teoria + Questões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11/08/2026</t>
        </is>
      </c>
      <c r="B5" t="inlineStr">
        <is>
          <t>História do Brasil</t>
        </is>
      </c>
      <c r="C5" t="inlineStr">
        <is>
          <t>Contribuição de índios e negros na formação do Brasil</t>
        </is>
      </c>
      <c r="D5" t="inlineStr">
        <is>
          <t>Teoria + Questões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11/08/2026</t>
        </is>
      </c>
      <c r="B6" t="inlineStr">
        <is>
          <t>História do Brasil</t>
        </is>
      </c>
      <c r="C6" t="inlineStr">
        <is>
          <t>Formação do Brasil Contemporâneo</t>
        </is>
      </c>
      <c r="D6" t="inlineStr">
        <is>
          <t>Teoria + Questões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11/08/2026</t>
        </is>
      </c>
      <c r="B7" t="inlineStr">
        <is>
          <t>História do Maranhão</t>
        </is>
      </c>
      <c r="C7" t="inlineStr">
        <is>
          <t>França Equinocial: expedição de La Touche</t>
        </is>
      </c>
      <c r="D7" t="inlineStr">
        <is>
          <t>Teoria + Questões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11/08/2026</t>
        </is>
      </c>
      <c r="B8" t="inlineStr">
        <is>
          <t>Geografia do Brasil</t>
        </is>
      </c>
      <c r="C8" t="inlineStr">
        <is>
          <t>Integração à internacionalização da economia</t>
        </is>
      </c>
      <c r="D8" t="inlineStr">
        <is>
          <t>Teoria + Questões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11/08/2026</t>
        </is>
      </c>
      <c r="B9" t="inlineStr">
        <is>
          <t>Geografia do Brasil</t>
        </is>
      </c>
      <c r="C9" t="inlineStr">
        <is>
          <t>Industrialização e organização do espaço</t>
        </is>
      </c>
      <c r="D9" t="inlineStr">
        <is>
          <t>Teoria + Questões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11/08/2026</t>
        </is>
      </c>
      <c r="B10" t="inlineStr">
        <is>
          <t>Noções de Informática</t>
        </is>
      </c>
      <c r="C10" t="inlineStr">
        <is>
          <t>Sistema operacional: Windows e Linux</t>
        </is>
      </c>
      <c r="D10" t="inlineStr">
        <is>
          <t>Teoria + Questões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11/08/2026</t>
        </is>
      </c>
      <c r="B11" t="inlineStr">
        <is>
          <t>História do Brasil</t>
        </is>
      </c>
      <c r="C11" t="inlineStr">
        <is>
          <t>República Velha e estruturas oligárquicas</t>
        </is>
      </c>
      <c r="D11" t="inlineStr">
        <is>
          <t>Teoria + Questões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11/08/2026</t>
        </is>
      </c>
      <c r="B12" t="inlineStr">
        <is>
          <t>História do Maranhão</t>
        </is>
      </c>
      <c r="C12" t="inlineStr">
        <is>
          <t>Fundação de São Luís</t>
        </is>
      </c>
      <c r="D12" t="inlineStr">
        <is>
          <t>Teoria + Questões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11/08/2026</t>
        </is>
      </c>
      <c r="B13" t="inlineStr">
        <is>
          <t>História do Maranhão</t>
        </is>
      </c>
      <c r="C13" t="inlineStr">
        <is>
          <t>Capitães-mores do Maranhão</t>
        </is>
      </c>
      <c r="D13" t="inlineStr">
        <is>
          <t>Teoria + Questões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11/08/2026</t>
        </is>
      </c>
      <c r="B14" t="inlineStr">
        <is>
          <t>Geografia do Brasil</t>
        </is>
      </c>
      <c r="C14" t="inlineStr">
        <is>
          <t>Fronteiras agrícolas: Centro-Oeste e Amazônia</t>
        </is>
      </c>
      <c r="D14" t="inlineStr">
        <is>
          <t>Teoria + Questões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11/08/2026</t>
        </is>
      </c>
      <c r="B15" t="inlineStr">
        <is>
          <t>Noções de Informática</t>
        </is>
      </c>
      <c r="C15" t="inlineStr">
        <is>
          <t>Correio eletrônico (Outlook, Thunderbird)</t>
        </is>
      </c>
      <c r="D15" t="inlineStr">
        <is>
          <t>Teoria + Questões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11/08/2026</t>
        </is>
      </c>
      <c r="B16" t="inlineStr">
        <is>
          <t>Noções de Informática</t>
        </is>
      </c>
      <c r="C16" t="inlineStr">
        <is>
          <t>Correio eletrônico (Outlook, Thunderbird)</t>
        </is>
      </c>
      <c r="D16" t="inlineStr">
        <is>
          <t>Teoria + Questões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11/08/2026</t>
        </is>
      </c>
      <c r="B17" t="inlineStr">
        <is>
          <t>Raciocínio Lógico</t>
        </is>
      </c>
      <c r="C17" t="inlineStr">
        <is>
          <t>Lógica sentencial: proposições simples e compostas</t>
        </is>
      </c>
      <c r="D17" t="inlineStr">
        <is>
          <t>Teoria + Questões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11/08/2026</t>
        </is>
      </c>
      <c r="B18" t="inlineStr">
        <is>
          <t>História do Brasil</t>
        </is>
      </c>
      <c r="C18" t="inlineStr">
        <is>
          <t>Revolução de 1930</t>
        </is>
      </c>
      <c r="D18" t="inlineStr">
        <is>
          <t>Teoria + Questões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11/08/2026</t>
        </is>
      </c>
      <c r="B19" t="inlineStr">
        <is>
          <t>História do Brasil</t>
        </is>
      </c>
      <c r="C19" t="inlineStr">
        <is>
          <t>Revolução de 1930</t>
        </is>
      </c>
      <c r="D19" t="inlineStr">
        <is>
          <t>Teoria + Questões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11/08/2026</t>
        </is>
      </c>
      <c r="B20" t="inlineStr">
        <is>
          <t>Língua Portuguesa</t>
        </is>
      </c>
      <c r="C20" t="inlineStr">
        <is>
          <t>Interpretação e compreensão textual</t>
        </is>
      </c>
      <c r="D20" t="inlineStr">
        <is>
          <t>Revisão</t>
        </is>
      </c>
      <c r="E20" t="n">
        <v>20</v>
      </c>
      <c r="F20" t="n">
        <v>4</v>
      </c>
      <c r="G20" t="n">
        <v>4</v>
      </c>
      <c r="H20" t="n">
        <v>0</v>
      </c>
      <c r="I20" t="n">
        <v>1</v>
      </c>
      <c r="J20" t="inlineStr">
        <is>
          <t>Simulado / Revisão em Lote</t>
        </is>
      </c>
    </row>
    <row r="21">
      <c r="A21" t="inlineStr">
        <is>
          <t>11/08/2026</t>
        </is>
      </c>
      <c r="B21" t="inlineStr">
        <is>
          <t>Língua Portuguesa</t>
        </is>
      </c>
      <c r="C21" t="inlineStr">
        <is>
          <t>Reescrita de frases e parágrafos</t>
        </is>
      </c>
      <c r="D21" t="inlineStr">
        <is>
          <t>Revisão</t>
        </is>
      </c>
      <c r="E21" t="n">
        <v>20</v>
      </c>
      <c r="F21" t="n">
        <v>4</v>
      </c>
      <c r="G21" t="n">
        <v>3</v>
      </c>
      <c r="H21" t="n">
        <v>1</v>
      </c>
      <c r="I21" t="n">
        <v>0.75</v>
      </c>
      <c r="J21" t="inlineStr">
        <is>
          <t>Simulado / Revisão em Lote</t>
        </is>
      </c>
    </row>
    <row r="22">
      <c r="A22" t="inlineStr">
        <is>
          <t>11/08/2026</t>
        </is>
      </c>
      <c r="B22" t="inlineStr">
        <is>
          <t>Legislação Institucional</t>
        </is>
      </c>
      <c r="C22" t="inlineStr">
        <is>
          <t>Estatuto 6.513/95: Hierarquia, disciplina, postos e graduações</t>
        </is>
      </c>
      <c r="D22" t="inlineStr">
        <is>
          <t>Revisão</t>
        </is>
      </c>
      <c r="E22" t="n">
        <v>20</v>
      </c>
      <c r="F22" t="n">
        <v>3</v>
      </c>
      <c r="G22" t="n">
        <v>3</v>
      </c>
      <c r="H22" t="n">
        <v>0</v>
      </c>
      <c r="I22" t="n">
        <v>1</v>
      </c>
      <c r="J22" t="inlineStr">
        <is>
          <t>Simulado / Revisão em Lote</t>
        </is>
      </c>
    </row>
    <row r="23">
      <c r="A23" t="inlineStr">
        <is>
          <t>11/08/2026</t>
        </is>
      </c>
      <c r="B23" t="inlineStr">
        <is>
          <t>Legislação Institucional</t>
        </is>
      </c>
      <c r="C23" t="inlineStr">
        <is>
          <t>Estatuto 6.513/95: Direitos, deveres e ética policial-militar</t>
        </is>
      </c>
      <c r="D23" t="inlineStr">
        <is>
          <t>Revisão</t>
        </is>
      </c>
      <c r="E23" t="n">
        <v>20</v>
      </c>
      <c r="F23" t="n">
        <v>4</v>
      </c>
      <c r="G23" t="n">
        <v>4</v>
      </c>
      <c r="H23" t="n">
        <v>0</v>
      </c>
      <c r="I23" t="n">
        <v>1</v>
      </c>
      <c r="J23" t="inlineStr">
        <is>
          <t>Simulado / Revisão em Lote</t>
        </is>
      </c>
    </row>
    <row r="24">
      <c r="A24" t="inlineStr">
        <is>
          <t>11/08/2026</t>
        </is>
      </c>
      <c r="B24" t="inlineStr">
        <is>
          <t>Legislação Institucional</t>
        </is>
      </c>
      <c r="C24" t="inlineStr">
        <is>
          <t>Estatuto 6.513/95: Ingresso, carreira e situações do PM</t>
        </is>
      </c>
      <c r="D24" t="inlineStr">
        <is>
          <t>Revisão</t>
        </is>
      </c>
      <c r="E24" t="n">
        <v>20</v>
      </c>
      <c r="F24" t="n">
        <v>4</v>
      </c>
      <c r="G24" t="n">
        <v>4</v>
      </c>
      <c r="H24" t="n">
        <v>0</v>
      </c>
      <c r="I24" t="n">
        <v>1</v>
      </c>
      <c r="J24" t="inlineStr">
        <is>
          <t>Simulado / Revisão em Lote</t>
        </is>
      </c>
    </row>
    <row r="25">
      <c r="A25" t="inlineStr">
        <is>
          <t>11/08/2026</t>
        </is>
      </c>
      <c r="B25" t="inlineStr">
        <is>
          <t>História do Brasil</t>
        </is>
      </c>
      <c r="C25" t="inlineStr">
        <is>
          <t>Contribuição de índios e negros na formação do Brasil</t>
        </is>
      </c>
      <c r="D25" t="inlineStr">
        <is>
          <t>Revisão</t>
        </is>
      </c>
      <c r="E25" t="n">
        <v>20</v>
      </c>
      <c r="F25" t="n">
        <v>2</v>
      </c>
      <c r="G25" t="n">
        <v>2</v>
      </c>
      <c r="H25" t="n">
        <v>0</v>
      </c>
      <c r="I25" t="n">
        <v>1</v>
      </c>
      <c r="J25" t="inlineStr">
        <is>
          <t>Simulado / Revisão em Lote</t>
        </is>
      </c>
    </row>
    <row r="26">
      <c r="A26" t="inlineStr">
        <is>
          <t>11/08/2026</t>
        </is>
      </c>
      <c r="B26" t="inlineStr">
        <is>
          <t>História do Brasil</t>
        </is>
      </c>
      <c r="C26" t="inlineStr">
        <is>
          <t>Formação do Brasil Contemporâneo</t>
        </is>
      </c>
      <c r="D26" t="inlineStr">
        <is>
          <t>Revisão</t>
        </is>
      </c>
      <c r="E26" t="n">
        <v>20</v>
      </c>
      <c r="F26" t="n">
        <v>2</v>
      </c>
      <c r="G26" t="n">
        <v>2</v>
      </c>
      <c r="H26" t="n">
        <v>0</v>
      </c>
      <c r="I26" t="n">
        <v>1</v>
      </c>
      <c r="J26" t="inlineStr">
        <is>
          <t>Simulado / Revisão em Lote</t>
        </is>
      </c>
    </row>
    <row r="27">
      <c r="A27" t="inlineStr">
        <is>
          <t>11/08/2026</t>
        </is>
      </c>
      <c r="B27" t="inlineStr">
        <is>
          <t>História do Maranhão</t>
        </is>
      </c>
      <c r="C27" t="inlineStr">
        <is>
          <t>França Equinocial: expedição de La Touche</t>
        </is>
      </c>
      <c r="D27" t="inlineStr">
        <is>
          <t>Revisão</t>
        </is>
      </c>
      <c r="E27" t="n">
        <v>20</v>
      </c>
      <c r="F27" t="n">
        <v>3</v>
      </c>
      <c r="G27" t="n">
        <v>3</v>
      </c>
      <c r="H27" t="n">
        <v>0</v>
      </c>
      <c r="I27" t="n">
        <v>1</v>
      </c>
      <c r="J27" t="inlineStr">
        <is>
          <t>Simulado / Revisão em Lote</t>
        </is>
      </c>
    </row>
    <row r="28">
      <c r="A28" t="inlineStr">
        <is>
          <t>11/08/2026</t>
        </is>
      </c>
      <c r="B28" t="inlineStr">
        <is>
          <t>Geografia do Brasil</t>
        </is>
      </c>
      <c r="C28" t="inlineStr">
        <is>
          <t>Integração à internacionalização da economia</t>
        </is>
      </c>
      <c r="D28" t="inlineStr">
        <is>
          <t>Revisão</t>
        </is>
      </c>
      <c r="E28" t="n">
        <v>20</v>
      </c>
      <c r="F28" t="n">
        <v>3</v>
      </c>
      <c r="G28" t="n">
        <v>3</v>
      </c>
      <c r="H28" t="n">
        <v>0</v>
      </c>
      <c r="I28" t="n">
        <v>1</v>
      </c>
      <c r="J28" t="inlineStr">
        <is>
          <t>Simulado / Revisão em Lote</t>
        </is>
      </c>
    </row>
    <row r="29">
      <c r="A29" t="inlineStr">
        <is>
          <t>11/08/2026</t>
        </is>
      </c>
      <c r="B29" t="inlineStr">
        <is>
          <t>Geografia do Brasil</t>
        </is>
      </c>
      <c r="C29" t="inlineStr">
        <is>
          <t>Industrialização e organização do espaço</t>
        </is>
      </c>
      <c r="D29" t="inlineStr">
        <is>
          <t>Revisão</t>
        </is>
      </c>
      <c r="E29" t="n">
        <v>20</v>
      </c>
      <c r="F29" t="n">
        <v>2</v>
      </c>
      <c r="G29" t="n">
        <v>2</v>
      </c>
      <c r="H29" t="n">
        <v>0</v>
      </c>
      <c r="I29" t="n">
        <v>1</v>
      </c>
      <c r="J29" t="inlineStr">
        <is>
          <t>Simulado / Revisão em Lote</t>
        </is>
      </c>
    </row>
    <row r="30">
      <c r="A30" t="inlineStr">
        <is>
          <t>11/08/2026</t>
        </is>
      </c>
      <c r="B30" t="inlineStr">
        <is>
          <t>Geografia do Maranhão</t>
        </is>
      </c>
      <c r="C30" t="inlineStr">
        <is>
          <t>Localização: superfície, limites e APAs</t>
        </is>
      </c>
      <c r="D30" t="inlineStr">
        <is>
          <t>Revisão</t>
        </is>
      </c>
      <c r="E30" t="n">
        <v>20</v>
      </c>
      <c r="F30" t="n">
        <v>4</v>
      </c>
      <c r="G30" t="n">
        <v>4</v>
      </c>
      <c r="H30" t="n">
        <v>0</v>
      </c>
      <c r="I30" t="n">
        <v>1</v>
      </c>
      <c r="J30" t="inlineStr">
        <is>
          <t>Simulado / Revisão em Lote</t>
        </is>
      </c>
    </row>
    <row r="31">
      <c r="A31" t="inlineStr">
        <is>
          <t>11/08/2026</t>
        </is>
      </c>
      <c r="B31" t="inlineStr">
        <is>
          <t>Noções de Informática</t>
        </is>
      </c>
      <c r="C31" t="inlineStr">
        <is>
          <t>Sistema operacional: Windows e Linux</t>
        </is>
      </c>
      <c r="D31" t="inlineStr">
        <is>
          <t>Revisão</t>
        </is>
      </c>
      <c r="E31" t="n">
        <v>20</v>
      </c>
      <c r="F31" t="n">
        <v>5</v>
      </c>
      <c r="G31" t="n">
        <v>4</v>
      </c>
      <c r="H31" t="n">
        <v>1</v>
      </c>
      <c r="I31" t="n">
        <v>0.8</v>
      </c>
      <c r="J31" t="inlineStr">
        <is>
          <t>Simulado / Revisão em Lote</t>
        </is>
      </c>
    </row>
    <row r="32">
      <c r="A32" t="inlineStr">
        <is>
          <t>11/08/2026</t>
        </is>
      </c>
      <c r="B32" t="inlineStr">
        <is>
          <t>Noções de Informática</t>
        </is>
      </c>
      <c r="C32" t="inlineStr">
        <is>
          <t>Edição de textos, planilhas e apresentações (Office/BrOffice)</t>
        </is>
      </c>
      <c r="D32" t="inlineStr">
        <is>
          <t>Revisão</t>
        </is>
      </c>
      <c r="E32" t="n">
        <v>20</v>
      </c>
      <c r="F32" t="n">
        <v>6</v>
      </c>
      <c r="G32" t="n">
        <v>6</v>
      </c>
      <c r="H32" t="n">
        <v>0</v>
      </c>
      <c r="I32" t="n">
        <v>1</v>
      </c>
      <c r="J32" t="inlineStr">
        <is>
          <t>Simulado / Revisão em Lote</t>
        </is>
      </c>
    </row>
    <row r="33">
      <c r="A33" t="inlineStr">
        <is>
          <t>11/08/2026</t>
        </is>
      </c>
      <c r="B33" t="inlineStr">
        <is>
          <t>Raciocínio Lógico</t>
        </is>
      </c>
      <c r="C33" t="inlineStr">
        <is>
          <t>Compreensão de estruturas lógicas</t>
        </is>
      </c>
      <c r="D33" t="inlineStr">
        <is>
          <t>Revisão</t>
        </is>
      </c>
      <c r="E33" t="n">
        <v>20</v>
      </c>
      <c r="F33" t="n">
        <v>4</v>
      </c>
      <c r="G33" t="n">
        <v>4</v>
      </c>
      <c r="H33" t="n">
        <v>0</v>
      </c>
      <c r="I33" t="n">
        <v>1</v>
      </c>
      <c r="J33" t="inlineStr">
        <is>
          <t>Simulado / Revisão em Lote</t>
        </is>
      </c>
    </row>
    <row r="34">
      <c r="A34" t="inlineStr">
        <is>
          <t>11/08/2026</t>
        </is>
      </c>
      <c r="B34" t="inlineStr">
        <is>
          <t>Simulado Geral</t>
        </is>
      </c>
      <c r="C34" t="inlineStr">
        <is>
          <t>Simulado completo (ver aba Simulado Semanal)</t>
        </is>
      </c>
      <c r="D34" t="inlineStr">
        <is>
          <t>Revisão</t>
        </is>
      </c>
      <c r="E34" t="n">
        <v>50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Simulado / Revisão em Lote</t>
        </is>
      </c>
    </row>
    <row r="35">
      <c r="A35" t="inlineStr">
        <is>
          <t>11/08/2026</t>
        </is>
      </c>
      <c r="B35" t="inlineStr">
        <is>
          <t>Língua Portuguesa</t>
        </is>
      </c>
      <c r="C35" t="inlineStr">
        <is>
          <t>Coesão textual (referenciação, conectores)</t>
        </is>
      </c>
      <c r="D35" t="inlineStr">
        <is>
          <t>Revisão</t>
        </is>
      </c>
      <c r="E35" t="n">
        <v>0</v>
      </c>
      <c r="F35" t="n">
        <v>4</v>
      </c>
      <c r="G35" t="n">
        <v>2</v>
      </c>
      <c r="H35" t="n">
        <v>2</v>
      </c>
      <c r="I35" t="n">
        <v>0.5</v>
      </c>
      <c r="J35" t="inlineStr">
        <is>
          <t>Simulado / Revisão em Lote</t>
        </is>
      </c>
    </row>
    <row r="36">
      <c r="A36" t="inlineStr">
        <is>
          <t>11/08/2026</t>
        </is>
      </c>
      <c r="B36" t="inlineStr">
        <is>
          <t>Língua Portuguesa</t>
        </is>
      </c>
      <c r="C36" t="inlineStr">
        <is>
          <t>Morfossintaxe: classes de palavras</t>
        </is>
      </c>
      <c r="D36" t="inlineStr">
        <is>
          <t>Revisão</t>
        </is>
      </c>
      <c r="E36" t="n">
        <v>0</v>
      </c>
      <c r="F36" t="n">
        <v>4</v>
      </c>
      <c r="G36" t="n">
        <v>3</v>
      </c>
      <c r="H36" t="n">
        <v>1</v>
      </c>
      <c r="I36" t="n">
        <v>0.75</v>
      </c>
      <c r="J36" t="inlineStr">
        <is>
          <t>Simulado / Revisão em Lote</t>
        </is>
      </c>
    </row>
    <row r="37">
      <c r="A37" t="inlineStr">
        <is>
          <t>11/08/2026</t>
        </is>
      </c>
      <c r="B37" t="inlineStr">
        <is>
          <t>Legislação Institucional</t>
        </is>
      </c>
      <c r="C37" t="inlineStr">
        <is>
          <t>Estatuto 6.513/95: Promoções (Art. 78 e 79-A)</t>
        </is>
      </c>
      <c r="D37" t="inlineStr">
        <is>
          <t>Revisão</t>
        </is>
      </c>
      <c r="E37" t="n">
        <v>0</v>
      </c>
      <c r="F37" t="n">
        <v>6</v>
      </c>
      <c r="G37" t="n">
        <v>5</v>
      </c>
      <c r="H37" t="n">
        <v>1</v>
      </c>
      <c r="I37" t="n">
        <v>0.8333333333333334</v>
      </c>
      <c r="J37" t="inlineStr">
        <is>
          <t>Simulado / Revisão em Lote</t>
        </is>
      </c>
    </row>
    <row r="38">
      <c r="A38" t="inlineStr">
        <is>
          <t>11/08/2026</t>
        </is>
      </c>
      <c r="B38" t="inlineStr">
        <is>
          <t>Legislação Institucional</t>
        </is>
      </c>
      <c r="C38" t="inlineStr">
        <is>
          <t>Lei 14.751/23: Disposições gerais e competências das PMs</t>
        </is>
      </c>
      <c r="D38" t="inlineStr">
        <is>
          <t>Revisão</t>
        </is>
      </c>
      <c r="E38" t="n">
        <v>0</v>
      </c>
      <c r="F38" t="n">
        <v>5</v>
      </c>
      <c r="G38" t="n">
        <v>5</v>
      </c>
      <c r="H38" t="n">
        <v>0</v>
      </c>
      <c r="I38" t="n">
        <v>1</v>
      </c>
      <c r="J38" t="inlineStr">
        <is>
          <t>Simulado / Revisão em Lote</t>
        </is>
      </c>
    </row>
    <row r="39">
      <c r="A39" t="inlineStr">
        <is>
          <t>11/08/2026</t>
        </is>
      </c>
      <c r="B39" t="inlineStr">
        <is>
          <t>Legislação Institucional</t>
        </is>
      </c>
      <c r="C39" t="inlineStr">
        <is>
          <t>Lei 14.751/23: Organização (direção/apoio/execução/correição)</t>
        </is>
      </c>
      <c r="D39" t="inlineStr">
        <is>
          <t>Revisão</t>
        </is>
      </c>
      <c r="E39" t="n">
        <v>0</v>
      </c>
      <c r="F39" t="n">
        <v>5</v>
      </c>
      <c r="G39" t="n">
        <v>3</v>
      </c>
      <c r="H39" t="n">
        <v>2</v>
      </c>
      <c r="I39" t="n">
        <v>0.6</v>
      </c>
      <c r="J39" t="inlineStr">
        <is>
          <t>Simulado / Revisão em Lote</t>
        </is>
      </c>
    </row>
    <row r="40">
      <c r="A40" t="inlineStr">
        <is>
          <t>11/08/2026</t>
        </is>
      </c>
      <c r="B40" t="inlineStr">
        <is>
          <t>História do Brasil</t>
        </is>
      </c>
      <c r="C40" t="inlineStr">
        <is>
          <t>República Velha e estruturas oligárquicas</t>
        </is>
      </c>
      <c r="D40" t="inlineStr">
        <is>
          <t>Revisão</t>
        </is>
      </c>
      <c r="E40" t="n">
        <v>0</v>
      </c>
      <c r="F40" t="n">
        <v>2</v>
      </c>
      <c r="G40" t="n">
        <v>2</v>
      </c>
      <c r="H40" t="n">
        <v>0</v>
      </c>
      <c r="I40" t="n">
        <v>1</v>
      </c>
      <c r="J40" t="inlineStr">
        <is>
          <t>Simulado / Revisão em Lote</t>
        </is>
      </c>
    </row>
    <row r="41">
      <c r="A41" t="inlineStr">
        <is>
          <t>11/08/2026</t>
        </is>
      </c>
      <c r="B41" t="inlineStr">
        <is>
          <t>História do Maranhão</t>
        </is>
      </c>
      <c r="C41" t="inlineStr">
        <is>
          <t>Fundação de São Luís</t>
        </is>
      </c>
      <c r="D41" t="inlineStr">
        <is>
          <t>Revisão</t>
        </is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inlineStr">
        <is>
          <t>Simulado / Revisão em Lote</t>
        </is>
      </c>
    </row>
    <row r="42">
      <c r="A42" t="inlineStr">
        <is>
          <t>11/08/2026</t>
        </is>
      </c>
      <c r="B42" t="inlineStr">
        <is>
          <t>História do Maranhão</t>
        </is>
      </c>
      <c r="C42" t="inlineStr">
        <is>
          <t>Batalha de Guaxenduba</t>
        </is>
      </c>
      <c r="D42" t="inlineStr">
        <is>
          <t>Revisão</t>
        </is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inlineStr">
        <is>
          <t>Simulado / Revisão em Lote</t>
        </is>
      </c>
    </row>
    <row r="43">
      <c r="A43" t="inlineStr">
        <is>
          <t>11/08/2026</t>
        </is>
      </c>
      <c r="B43" t="inlineStr">
        <is>
          <t>Geografia do Brasil</t>
        </is>
      </c>
      <c r="C43" t="inlineStr">
        <is>
          <t>Rede brasileira de transportes</t>
        </is>
      </c>
      <c r="D43" t="inlineStr">
        <is>
          <t>Revisão</t>
        </is>
      </c>
      <c r="E43" t="n">
        <v>0</v>
      </c>
      <c r="F43" t="n">
        <v>2</v>
      </c>
      <c r="G43" t="n">
        <v>2</v>
      </c>
      <c r="H43" t="n">
        <v>0</v>
      </c>
      <c r="I43" t="n">
        <v>1</v>
      </c>
      <c r="J43" t="inlineStr">
        <is>
          <t>Simulado / Revisão em Lote</t>
        </is>
      </c>
    </row>
    <row r="44">
      <c r="A44" t="inlineStr">
        <is>
          <t>11/08/2026</t>
        </is>
      </c>
      <c r="B44" t="inlineStr">
        <is>
          <t>Geografia do Maranhão</t>
        </is>
      </c>
      <c r="C44" t="inlineStr">
        <is>
          <t>Parques nacionais</t>
        </is>
      </c>
      <c r="D44" t="inlineStr">
        <is>
          <t>Revisão</t>
        </is>
      </c>
      <c r="E44" t="n">
        <v>0</v>
      </c>
      <c r="F44" t="n">
        <v>2</v>
      </c>
      <c r="G44" t="n">
        <v>2</v>
      </c>
      <c r="H44" t="n">
        <v>0</v>
      </c>
      <c r="I44" t="n">
        <v>1</v>
      </c>
      <c r="J44" t="inlineStr">
        <is>
          <t>Simulado / Revisão em Lote</t>
        </is>
      </c>
    </row>
    <row r="45">
      <c r="A45" t="inlineStr">
        <is>
          <t>11/08/2026</t>
        </is>
      </c>
      <c r="B45" t="inlineStr">
        <is>
          <t>Geografia do Maranhão</t>
        </is>
      </c>
      <c r="C45" t="inlineStr">
        <is>
          <t>Clima do Maranhão: pluviosidade e temperatura</t>
        </is>
      </c>
      <c r="D45" t="inlineStr">
        <is>
          <t>Revisão</t>
        </is>
      </c>
      <c r="E45" t="n">
        <v>0</v>
      </c>
      <c r="F45" t="n">
        <v>2</v>
      </c>
      <c r="G45" t="n">
        <v>2</v>
      </c>
      <c r="H45" t="n">
        <v>0</v>
      </c>
      <c r="I45" t="n">
        <v>1</v>
      </c>
      <c r="J45" t="inlineStr">
        <is>
          <t>Simulado / Revisão em Lote</t>
        </is>
      </c>
    </row>
    <row r="46">
      <c r="A46" t="inlineStr">
        <is>
          <t>11/08/2026</t>
        </is>
      </c>
      <c r="B46" t="inlineStr">
        <is>
          <t>Noções de Informática</t>
        </is>
      </c>
      <c r="C46" t="inlineStr">
        <is>
          <t>Redes de computadores: internet e intranet</t>
        </is>
      </c>
      <c r="D46" t="inlineStr">
        <is>
          <t>Revisão</t>
        </is>
      </c>
      <c r="E46" t="n">
        <v>0</v>
      </c>
      <c r="F46" t="n">
        <v>8</v>
      </c>
      <c r="G46" t="n">
        <v>7</v>
      </c>
      <c r="H46" t="n">
        <v>1</v>
      </c>
      <c r="I46" t="n">
        <v>0.875</v>
      </c>
      <c r="J46" t="inlineStr">
        <is>
          <t>Simulado / Revisão em Lote</t>
        </is>
      </c>
    </row>
    <row r="47">
      <c r="A47" t="inlineStr">
        <is>
          <t>11/08/2026</t>
        </is>
      </c>
      <c r="B47" t="inlineStr">
        <is>
          <t>Noções de Informática</t>
        </is>
      </c>
      <c r="C47" t="inlineStr">
        <is>
          <t>Navegadores (Chrome, Firefox, Edge)</t>
        </is>
      </c>
      <c r="D47" t="inlineStr">
        <is>
          <t>Revisão</t>
        </is>
      </c>
      <c r="E47" t="n">
        <v>0</v>
      </c>
      <c r="F47" t="n">
        <v>6</v>
      </c>
      <c r="G47" t="n">
        <v>6</v>
      </c>
      <c r="H47" t="n">
        <v>0</v>
      </c>
      <c r="I47" t="n">
        <v>1</v>
      </c>
      <c r="J47" t="inlineStr">
        <is>
          <t>Simulado / Revisão em Lote</t>
        </is>
      </c>
    </row>
    <row r="48">
      <c r="A48" t="inlineStr">
        <is>
          <t>11/08/2026</t>
        </is>
      </c>
      <c r="B48" t="inlineStr">
        <is>
          <t>Raciocínio Lógico</t>
        </is>
      </c>
      <c r="C48" t="inlineStr">
        <is>
          <t>Lógica de argumentação: analogias, inferências, deduções</t>
        </is>
      </c>
      <c r="D48" t="inlineStr">
        <is>
          <t>Revisão</t>
        </is>
      </c>
      <c r="E48" t="n">
        <v>0</v>
      </c>
      <c r="F48" t="n">
        <v>2</v>
      </c>
      <c r="G48" t="n">
        <v>1</v>
      </c>
      <c r="H48" t="n">
        <v>1</v>
      </c>
      <c r="I48" t="n">
        <v>0.5</v>
      </c>
      <c r="J48" t="inlineStr">
        <is>
          <t>Simulado / Revisão em Lote</t>
        </is>
      </c>
    </row>
    <row r="49">
      <c r="A49" t="inlineStr">
        <is>
          <t>11/08/2026</t>
        </is>
      </c>
      <c r="B49" t="inlineStr">
        <is>
          <t>Simulado Geral</t>
        </is>
      </c>
      <c r="C49" t="inlineStr">
        <is>
          <t>Simulado completo (ver aba Simulado Semanal)</t>
        </is>
      </c>
      <c r="D49" t="inlineStr">
        <is>
          <t>Revisão</t>
        </is>
      </c>
      <c r="E49" t="n">
        <v>60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Simulado / Revisão em Lote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Matéria</t>
        </is>
      </c>
      <c r="C1" t="inlineStr">
        <is>
          <t>Assunto</t>
        </is>
      </c>
      <c r="D1" t="inlineStr">
        <is>
          <t>Enunciado/Questão</t>
        </is>
      </c>
      <c r="E1" t="inlineStr">
        <is>
          <t>Link do TecConcursos</t>
        </is>
      </c>
      <c r="F1" t="inlineStr">
        <is>
          <t>Minha Resposta</t>
        </is>
      </c>
      <c r="G1" t="inlineStr">
        <is>
          <t>Explicação/Gabarito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2026-07-19T11:56:38Z</dcterms:created>
  <dcterms:modified xmlns:dcterms="http://purl.org/dc/terms/" xmlns:xsi="http://www.w3.org/2001/XMLSchema-instance" xsi:type="dcterms:W3CDTF">2026-08-12T01:27:11Z</dcterms:modified>
</cp:coreProperties>
</file>