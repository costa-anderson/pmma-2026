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_g\react\alphamar-lineup\"/>
    </mc:Choice>
  </mc:AlternateContent>
  <xr:revisionPtr revIDLastSave="0" documentId="13_ncr:1_{D449D8FB-4861-4A7A-880F-A1664CE7B0D2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ados_Dashboard" sheetId="1" r:id="rId1"/>
    <sheet name="Dashboard" sheetId="2" r:id="rId2"/>
    <sheet name="Cronograma de Estudos" sheetId="3" r:id="rId3"/>
    <sheet name="Controle do Edital" sheetId="4" r:id="rId4"/>
    <sheet name="Registro de Estudos" sheetId="5" r:id="rId5"/>
    <sheet name="Treino do TAF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" i="6" l="1"/>
  <c r="E4" i="6"/>
  <c r="D4" i="6"/>
  <c r="F3" i="6"/>
  <c r="E3" i="6"/>
  <c r="D3" i="6"/>
  <c r="A7" i="5"/>
  <c r="A6" i="5"/>
  <c r="F199" i="6"/>
  <c r="E199" i="6"/>
  <c r="D199" i="6"/>
  <c r="F198" i="6"/>
  <c r="D198" i="6"/>
  <c r="E198" i="6" s="1"/>
  <c r="D197" i="6"/>
  <c r="F197" i="6" s="1"/>
  <c r="E196" i="6"/>
  <c r="D196" i="6"/>
  <c r="F196" i="6" s="1"/>
  <c r="F195" i="6"/>
  <c r="E195" i="6"/>
  <c r="D195" i="6"/>
  <c r="F194" i="6"/>
  <c r="D194" i="6"/>
  <c r="E194" i="6" s="1"/>
  <c r="F193" i="6"/>
  <c r="E193" i="6"/>
  <c r="D193" i="6"/>
  <c r="F192" i="6"/>
  <c r="D192" i="6"/>
  <c r="E192" i="6" s="1"/>
  <c r="F191" i="6"/>
  <c r="D191" i="6"/>
  <c r="E191" i="6" s="1"/>
  <c r="D190" i="6"/>
  <c r="F190" i="6" s="1"/>
  <c r="E189" i="6"/>
  <c r="D189" i="6"/>
  <c r="F189" i="6" s="1"/>
  <c r="D188" i="6"/>
  <c r="F188" i="6" s="1"/>
  <c r="E187" i="6"/>
  <c r="D187" i="6"/>
  <c r="F187" i="6" s="1"/>
  <c r="F186" i="6"/>
  <c r="E186" i="6"/>
  <c r="D186" i="6"/>
  <c r="D185" i="6"/>
  <c r="F185" i="6" s="1"/>
  <c r="F184" i="6"/>
  <c r="D184" i="6"/>
  <c r="E184" i="6" s="1"/>
  <c r="F183" i="6"/>
  <c r="E183" i="6"/>
  <c r="D183" i="6"/>
  <c r="F182" i="6"/>
  <c r="D182" i="6"/>
  <c r="E182" i="6" s="1"/>
  <c r="D181" i="6"/>
  <c r="F181" i="6" s="1"/>
  <c r="E180" i="6"/>
  <c r="D180" i="6"/>
  <c r="F180" i="6" s="1"/>
  <c r="F179" i="6"/>
  <c r="E179" i="6"/>
  <c r="D179" i="6"/>
  <c r="F178" i="6"/>
  <c r="D178" i="6"/>
  <c r="E178" i="6" s="1"/>
  <c r="F177" i="6"/>
  <c r="E177" i="6"/>
  <c r="D177" i="6"/>
  <c r="F176" i="6"/>
  <c r="D176" i="6"/>
  <c r="E176" i="6" s="1"/>
  <c r="F175" i="6"/>
  <c r="D175" i="6"/>
  <c r="E175" i="6" s="1"/>
  <c r="D174" i="6"/>
  <c r="F174" i="6" s="1"/>
  <c r="E173" i="6"/>
  <c r="D173" i="6"/>
  <c r="F173" i="6" s="1"/>
  <c r="D172" i="6"/>
  <c r="F172" i="6" s="1"/>
  <c r="E171" i="6"/>
  <c r="D171" i="6"/>
  <c r="F171" i="6" s="1"/>
  <c r="F170" i="6"/>
  <c r="E170" i="6"/>
  <c r="D170" i="6"/>
  <c r="D169" i="6"/>
  <c r="F169" i="6" s="1"/>
  <c r="F168" i="6"/>
  <c r="D168" i="6"/>
  <c r="E168" i="6" s="1"/>
  <c r="F167" i="6"/>
  <c r="E167" i="6"/>
  <c r="D167" i="6"/>
  <c r="F166" i="6"/>
  <c r="D166" i="6"/>
  <c r="E166" i="6" s="1"/>
  <c r="D165" i="6"/>
  <c r="F165" i="6" s="1"/>
  <c r="E164" i="6"/>
  <c r="D164" i="6"/>
  <c r="F164" i="6" s="1"/>
  <c r="F163" i="6"/>
  <c r="E163" i="6"/>
  <c r="D163" i="6"/>
  <c r="F162" i="6"/>
  <c r="D162" i="6"/>
  <c r="E162" i="6" s="1"/>
  <c r="F161" i="6"/>
  <c r="E161" i="6"/>
  <c r="D161" i="6"/>
  <c r="F160" i="6"/>
  <c r="D160" i="6"/>
  <c r="E160" i="6" s="1"/>
  <c r="F159" i="6"/>
  <c r="D159" i="6"/>
  <c r="E159" i="6" s="1"/>
  <c r="D158" i="6"/>
  <c r="F158" i="6" s="1"/>
  <c r="E157" i="6"/>
  <c r="D157" i="6"/>
  <c r="F157" i="6" s="1"/>
  <c r="D156" i="6"/>
  <c r="F156" i="6" s="1"/>
  <c r="E155" i="6"/>
  <c r="D155" i="6"/>
  <c r="F155" i="6" s="1"/>
  <c r="F154" i="6"/>
  <c r="E154" i="6"/>
  <c r="D154" i="6"/>
  <c r="D153" i="6"/>
  <c r="F153" i="6" s="1"/>
  <c r="F152" i="6"/>
  <c r="D152" i="6"/>
  <c r="E152" i="6" s="1"/>
  <c r="F151" i="6"/>
  <c r="E151" i="6"/>
  <c r="D151" i="6"/>
  <c r="F150" i="6"/>
  <c r="D150" i="6"/>
  <c r="E150" i="6" s="1"/>
  <c r="D149" i="6"/>
  <c r="F149" i="6" s="1"/>
  <c r="E148" i="6"/>
  <c r="D148" i="6"/>
  <c r="F148" i="6" s="1"/>
  <c r="F147" i="6"/>
  <c r="E147" i="6"/>
  <c r="D147" i="6"/>
  <c r="F146" i="6"/>
  <c r="D146" i="6"/>
  <c r="E146" i="6" s="1"/>
  <c r="F145" i="6"/>
  <c r="E145" i="6"/>
  <c r="D145" i="6"/>
  <c r="F144" i="6"/>
  <c r="D144" i="6"/>
  <c r="E144" i="6" s="1"/>
  <c r="F143" i="6"/>
  <c r="D143" i="6"/>
  <c r="E143" i="6" s="1"/>
  <c r="D142" i="6"/>
  <c r="F142" i="6" s="1"/>
  <c r="E141" i="6"/>
  <c r="D141" i="6"/>
  <c r="F141" i="6" s="1"/>
  <c r="D140" i="6"/>
  <c r="F140" i="6" s="1"/>
  <c r="E139" i="6"/>
  <c r="D139" i="6"/>
  <c r="F139" i="6" s="1"/>
  <c r="F138" i="6"/>
  <c r="E138" i="6"/>
  <c r="D138" i="6"/>
  <c r="D137" i="6"/>
  <c r="F137" i="6" s="1"/>
  <c r="F136" i="6"/>
  <c r="D136" i="6"/>
  <c r="E136" i="6" s="1"/>
  <c r="F135" i="6"/>
  <c r="E135" i="6"/>
  <c r="D135" i="6"/>
  <c r="F134" i="6"/>
  <c r="D134" i="6"/>
  <c r="E134" i="6" s="1"/>
  <c r="D133" i="6"/>
  <c r="F133" i="6" s="1"/>
  <c r="E132" i="6"/>
  <c r="D132" i="6"/>
  <c r="F132" i="6" s="1"/>
  <c r="F131" i="6"/>
  <c r="E131" i="6"/>
  <c r="D131" i="6"/>
  <c r="F130" i="6"/>
  <c r="D130" i="6"/>
  <c r="E130" i="6" s="1"/>
  <c r="F129" i="6"/>
  <c r="E129" i="6"/>
  <c r="D129" i="6"/>
  <c r="F128" i="6"/>
  <c r="D128" i="6"/>
  <c r="E128" i="6" s="1"/>
  <c r="F127" i="6"/>
  <c r="D127" i="6"/>
  <c r="E127" i="6" s="1"/>
  <c r="D126" i="6"/>
  <c r="F126" i="6" s="1"/>
  <c r="E125" i="6"/>
  <c r="D125" i="6"/>
  <c r="F125" i="6" s="1"/>
  <c r="D124" i="6"/>
  <c r="F124" i="6" s="1"/>
  <c r="E123" i="6"/>
  <c r="D123" i="6"/>
  <c r="F123" i="6" s="1"/>
  <c r="F122" i="6"/>
  <c r="E122" i="6"/>
  <c r="D122" i="6"/>
  <c r="D121" i="6"/>
  <c r="F121" i="6" s="1"/>
  <c r="F120" i="6"/>
  <c r="D120" i="6"/>
  <c r="E120" i="6" s="1"/>
  <c r="F119" i="6"/>
  <c r="E119" i="6"/>
  <c r="D119" i="6"/>
  <c r="F118" i="6"/>
  <c r="D118" i="6"/>
  <c r="E118" i="6" s="1"/>
  <c r="D117" i="6"/>
  <c r="F117" i="6" s="1"/>
  <c r="E116" i="6"/>
  <c r="D116" i="6"/>
  <c r="F116" i="6" s="1"/>
  <c r="F115" i="6"/>
  <c r="E115" i="6"/>
  <c r="D115" i="6"/>
  <c r="F114" i="6"/>
  <c r="D114" i="6"/>
  <c r="E114" i="6" s="1"/>
  <c r="F113" i="6"/>
  <c r="E113" i="6"/>
  <c r="D113" i="6"/>
  <c r="F112" i="6"/>
  <c r="D112" i="6"/>
  <c r="E112" i="6" s="1"/>
  <c r="F111" i="6"/>
  <c r="D111" i="6"/>
  <c r="E111" i="6" s="1"/>
  <c r="D110" i="6"/>
  <c r="F110" i="6" s="1"/>
  <c r="E109" i="6"/>
  <c r="D109" i="6"/>
  <c r="F109" i="6" s="1"/>
  <c r="D108" i="6"/>
  <c r="F108" i="6" s="1"/>
  <c r="E107" i="6"/>
  <c r="D107" i="6"/>
  <c r="F107" i="6" s="1"/>
  <c r="F106" i="6"/>
  <c r="E106" i="6"/>
  <c r="D106" i="6"/>
  <c r="D105" i="6"/>
  <c r="F105" i="6" s="1"/>
  <c r="F104" i="6"/>
  <c r="D104" i="6"/>
  <c r="E104" i="6" s="1"/>
  <c r="F103" i="6"/>
  <c r="E103" i="6"/>
  <c r="D103" i="6"/>
  <c r="F102" i="6"/>
  <c r="D102" i="6"/>
  <c r="E102" i="6" s="1"/>
  <c r="D101" i="6"/>
  <c r="F101" i="6" s="1"/>
  <c r="E100" i="6"/>
  <c r="D100" i="6"/>
  <c r="F100" i="6" s="1"/>
  <c r="F99" i="6"/>
  <c r="E99" i="6"/>
  <c r="D99" i="6"/>
  <c r="F98" i="6"/>
  <c r="D98" i="6"/>
  <c r="E98" i="6" s="1"/>
  <c r="F97" i="6"/>
  <c r="E97" i="6"/>
  <c r="D97" i="6"/>
  <c r="F96" i="6"/>
  <c r="D96" i="6"/>
  <c r="E96" i="6" s="1"/>
  <c r="F95" i="6"/>
  <c r="D95" i="6"/>
  <c r="E95" i="6" s="1"/>
  <c r="D94" i="6"/>
  <c r="F94" i="6" s="1"/>
  <c r="E93" i="6"/>
  <c r="D93" i="6"/>
  <c r="F93" i="6" s="1"/>
  <c r="D92" i="6"/>
  <c r="F92" i="6" s="1"/>
  <c r="E91" i="6"/>
  <c r="D91" i="6"/>
  <c r="F91" i="6" s="1"/>
  <c r="F90" i="6"/>
  <c r="E90" i="6"/>
  <c r="D90" i="6"/>
  <c r="D89" i="6"/>
  <c r="F89" i="6" s="1"/>
  <c r="F88" i="6"/>
  <c r="D88" i="6"/>
  <c r="E88" i="6" s="1"/>
  <c r="F87" i="6"/>
  <c r="E87" i="6"/>
  <c r="D87" i="6"/>
  <c r="F86" i="6"/>
  <c r="D86" i="6"/>
  <c r="E86" i="6" s="1"/>
  <c r="D85" i="6"/>
  <c r="F85" i="6" s="1"/>
  <c r="E84" i="6"/>
  <c r="D84" i="6"/>
  <c r="F84" i="6" s="1"/>
  <c r="F83" i="6"/>
  <c r="E83" i="6"/>
  <c r="D83" i="6"/>
  <c r="F82" i="6"/>
  <c r="D82" i="6"/>
  <c r="E82" i="6" s="1"/>
  <c r="F81" i="6"/>
  <c r="E81" i="6"/>
  <c r="D81" i="6"/>
  <c r="F80" i="6"/>
  <c r="D80" i="6"/>
  <c r="E80" i="6" s="1"/>
  <c r="F79" i="6"/>
  <c r="D79" i="6"/>
  <c r="E79" i="6" s="1"/>
  <c r="D78" i="6"/>
  <c r="F78" i="6" s="1"/>
  <c r="E77" i="6"/>
  <c r="D77" i="6"/>
  <c r="F77" i="6" s="1"/>
  <c r="D76" i="6"/>
  <c r="F76" i="6" s="1"/>
  <c r="E75" i="6"/>
  <c r="D75" i="6"/>
  <c r="F75" i="6" s="1"/>
  <c r="F74" i="6"/>
  <c r="E74" i="6"/>
  <c r="D74" i="6"/>
  <c r="D73" i="6"/>
  <c r="F73" i="6" s="1"/>
  <c r="F72" i="6"/>
  <c r="D72" i="6"/>
  <c r="E72" i="6" s="1"/>
  <c r="F71" i="6"/>
  <c r="E71" i="6"/>
  <c r="D71" i="6"/>
  <c r="F70" i="6"/>
  <c r="D70" i="6"/>
  <c r="E70" i="6" s="1"/>
  <c r="D69" i="6"/>
  <c r="F69" i="6" s="1"/>
  <c r="E68" i="6"/>
  <c r="D68" i="6"/>
  <c r="F68" i="6" s="1"/>
  <c r="F67" i="6"/>
  <c r="E67" i="6"/>
  <c r="D67" i="6"/>
  <c r="F66" i="6"/>
  <c r="D66" i="6"/>
  <c r="E66" i="6" s="1"/>
  <c r="F65" i="6"/>
  <c r="E65" i="6"/>
  <c r="D65" i="6"/>
  <c r="F64" i="6"/>
  <c r="D64" i="6"/>
  <c r="E64" i="6" s="1"/>
  <c r="F63" i="6"/>
  <c r="D63" i="6"/>
  <c r="E63" i="6" s="1"/>
  <c r="D62" i="6"/>
  <c r="F62" i="6" s="1"/>
  <c r="E61" i="6"/>
  <c r="D61" i="6"/>
  <c r="F61" i="6" s="1"/>
  <c r="D60" i="6"/>
  <c r="F60" i="6" s="1"/>
  <c r="E59" i="6"/>
  <c r="D59" i="6"/>
  <c r="F59" i="6" s="1"/>
  <c r="F58" i="6"/>
  <c r="E58" i="6"/>
  <c r="D58" i="6"/>
  <c r="D57" i="6"/>
  <c r="F57" i="6" s="1"/>
  <c r="F56" i="6"/>
  <c r="D56" i="6"/>
  <c r="E56" i="6" s="1"/>
  <c r="F55" i="6"/>
  <c r="E55" i="6"/>
  <c r="D55" i="6"/>
  <c r="F54" i="6"/>
  <c r="D54" i="6"/>
  <c r="E54" i="6" s="1"/>
  <c r="D53" i="6"/>
  <c r="F53" i="6" s="1"/>
  <c r="E52" i="6"/>
  <c r="D52" i="6"/>
  <c r="F52" i="6" s="1"/>
  <c r="F51" i="6"/>
  <c r="E51" i="6"/>
  <c r="D51" i="6"/>
  <c r="F50" i="6"/>
  <c r="D50" i="6"/>
  <c r="E50" i="6" s="1"/>
  <c r="F49" i="6"/>
  <c r="E49" i="6"/>
  <c r="D49" i="6"/>
  <c r="F48" i="6"/>
  <c r="D48" i="6"/>
  <c r="E48" i="6" s="1"/>
  <c r="F47" i="6"/>
  <c r="D47" i="6"/>
  <c r="E47" i="6" s="1"/>
  <c r="D46" i="6"/>
  <c r="F46" i="6" s="1"/>
  <c r="E45" i="6"/>
  <c r="D45" i="6"/>
  <c r="F45" i="6" s="1"/>
  <c r="D44" i="6"/>
  <c r="F44" i="6" s="1"/>
  <c r="E43" i="6"/>
  <c r="D43" i="6"/>
  <c r="F43" i="6" s="1"/>
  <c r="F42" i="6"/>
  <c r="E42" i="6"/>
  <c r="D42" i="6"/>
  <c r="D41" i="6"/>
  <c r="F41" i="6" s="1"/>
  <c r="F40" i="6"/>
  <c r="D40" i="6"/>
  <c r="E40" i="6" s="1"/>
  <c r="F39" i="6"/>
  <c r="E39" i="6"/>
  <c r="D39" i="6"/>
  <c r="F38" i="6"/>
  <c r="D38" i="6"/>
  <c r="E38" i="6" s="1"/>
  <c r="D37" i="6"/>
  <c r="F37" i="6" s="1"/>
  <c r="E36" i="6"/>
  <c r="D36" i="6"/>
  <c r="F36" i="6" s="1"/>
  <c r="F35" i="6"/>
  <c r="E35" i="6"/>
  <c r="D35" i="6"/>
  <c r="F34" i="6"/>
  <c r="D34" i="6"/>
  <c r="E34" i="6" s="1"/>
  <c r="F33" i="6"/>
  <c r="E33" i="6"/>
  <c r="D33" i="6"/>
  <c r="F32" i="6"/>
  <c r="D32" i="6"/>
  <c r="E32" i="6" s="1"/>
  <c r="F31" i="6"/>
  <c r="D31" i="6"/>
  <c r="E31" i="6" s="1"/>
  <c r="D30" i="6"/>
  <c r="F30" i="6" s="1"/>
  <c r="E29" i="6"/>
  <c r="D29" i="6"/>
  <c r="F29" i="6" s="1"/>
  <c r="D28" i="6"/>
  <c r="F28" i="6" s="1"/>
  <c r="E27" i="6"/>
  <c r="D27" i="6"/>
  <c r="F27" i="6" s="1"/>
  <c r="F26" i="6"/>
  <c r="E26" i="6"/>
  <c r="D26" i="6"/>
  <c r="D25" i="6"/>
  <c r="F25" i="6" s="1"/>
  <c r="F24" i="6"/>
  <c r="D24" i="6"/>
  <c r="E24" i="6" s="1"/>
  <c r="F23" i="6"/>
  <c r="E23" i="6"/>
  <c r="D23" i="6"/>
  <c r="F22" i="6"/>
  <c r="D22" i="6"/>
  <c r="E22" i="6" s="1"/>
  <c r="D21" i="6"/>
  <c r="F21" i="6" s="1"/>
  <c r="E20" i="6"/>
  <c r="D20" i="6"/>
  <c r="F20" i="6" s="1"/>
  <c r="F19" i="6"/>
  <c r="E19" i="6"/>
  <c r="D19" i="6"/>
  <c r="F18" i="6"/>
  <c r="D18" i="6"/>
  <c r="E18" i="6" s="1"/>
  <c r="F17" i="6"/>
  <c r="E17" i="6"/>
  <c r="D17" i="6"/>
  <c r="F16" i="6"/>
  <c r="D16" i="6"/>
  <c r="E16" i="6" s="1"/>
  <c r="F15" i="6"/>
  <c r="D15" i="6"/>
  <c r="E15" i="6" s="1"/>
  <c r="D14" i="6"/>
  <c r="F14" i="6" s="1"/>
  <c r="E13" i="6"/>
  <c r="D13" i="6"/>
  <c r="F13" i="6" s="1"/>
  <c r="D12" i="6"/>
  <c r="F12" i="6" s="1"/>
  <c r="E11" i="6"/>
  <c r="D11" i="6"/>
  <c r="F11" i="6" s="1"/>
  <c r="F10" i="6"/>
  <c r="E10" i="6"/>
  <c r="D10" i="6"/>
  <c r="D9" i="6"/>
  <c r="F9" i="6" s="1"/>
  <c r="F8" i="6"/>
  <c r="D8" i="6"/>
  <c r="E8" i="6" s="1"/>
  <c r="F7" i="6"/>
  <c r="E7" i="6"/>
  <c r="D7" i="6"/>
  <c r="F6" i="6"/>
  <c r="D6" i="6"/>
  <c r="E6" i="6" s="1"/>
  <c r="D5" i="6"/>
  <c r="F5" i="6" s="1"/>
  <c r="F2" i="6"/>
  <c r="D2" i="6"/>
  <c r="E2" i="6" s="1"/>
  <c r="I499" i="5"/>
  <c r="H499" i="5"/>
  <c r="I498" i="5"/>
  <c r="H498" i="5"/>
  <c r="I497" i="5"/>
  <c r="H497" i="5"/>
  <c r="I496" i="5"/>
  <c r="H496" i="5"/>
  <c r="I495" i="5"/>
  <c r="H495" i="5"/>
  <c r="I494" i="5"/>
  <c r="H494" i="5"/>
  <c r="I493" i="5"/>
  <c r="H493" i="5"/>
  <c r="I492" i="5"/>
  <c r="H492" i="5"/>
  <c r="I491" i="5"/>
  <c r="H491" i="5"/>
  <c r="I490" i="5"/>
  <c r="H490" i="5"/>
  <c r="I489" i="5"/>
  <c r="H489" i="5"/>
  <c r="I488" i="5"/>
  <c r="H488" i="5"/>
  <c r="I487" i="5"/>
  <c r="H487" i="5"/>
  <c r="I486" i="5"/>
  <c r="H486" i="5"/>
  <c r="I485" i="5"/>
  <c r="H485" i="5"/>
  <c r="I484" i="5"/>
  <c r="H484" i="5"/>
  <c r="I483" i="5"/>
  <c r="H483" i="5"/>
  <c r="I482" i="5"/>
  <c r="H482" i="5"/>
  <c r="I481" i="5"/>
  <c r="H481" i="5"/>
  <c r="I480" i="5"/>
  <c r="H480" i="5"/>
  <c r="I479" i="5"/>
  <c r="H479" i="5"/>
  <c r="I478" i="5"/>
  <c r="H478" i="5"/>
  <c r="I477" i="5"/>
  <c r="H477" i="5"/>
  <c r="I476" i="5"/>
  <c r="H476" i="5"/>
  <c r="I475" i="5"/>
  <c r="H475" i="5"/>
  <c r="I474" i="5"/>
  <c r="H474" i="5"/>
  <c r="I473" i="5"/>
  <c r="H473" i="5"/>
  <c r="I472" i="5"/>
  <c r="H472" i="5"/>
  <c r="I471" i="5"/>
  <c r="H471" i="5"/>
  <c r="I470" i="5"/>
  <c r="H470" i="5"/>
  <c r="I469" i="5"/>
  <c r="H469" i="5"/>
  <c r="I468" i="5"/>
  <c r="H468" i="5"/>
  <c r="I467" i="5"/>
  <c r="H467" i="5"/>
  <c r="I466" i="5"/>
  <c r="H466" i="5"/>
  <c r="I465" i="5"/>
  <c r="H465" i="5"/>
  <c r="I464" i="5"/>
  <c r="H464" i="5"/>
  <c r="I463" i="5"/>
  <c r="H463" i="5"/>
  <c r="I462" i="5"/>
  <c r="H462" i="5"/>
  <c r="I461" i="5"/>
  <c r="H461" i="5"/>
  <c r="I460" i="5"/>
  <c r="H460" i="5"/>
  <c r="I459" i="5"/>
  <c r="H459" i="5"/>
  <c r="I458" i="5"/>
  <c r="H458" i="5"/>
  <c r="I457" i="5"/>
  <c r="H457" i="5"/>
  <c r="I456" i="5"/>
  <c r="H456" i="5"/>
  <c r="I455" i="5"/>
  <c r="H455" i="5"/>
  <c r="I454" i="5"/>
  <c r="H454" i="5"/>
  <c r="I453" i="5"/>
  <c r="H453" i="5"/>
  <c r="I452" i="5"/>
  <c r="H452" i="5"/>
  <c r="I451" i="5"/>
  <c r="H451" i="5"/>
  <c r="I450" i="5"/>
  <c r="H450" i="5"/>
  <c r="I449" i="5"/>
  <c r="H449" i="5"/>
  <c r="I448" i="5"/>
  <c r="H448" i="5"/>
  <c r="I447" i="5"/>
  <c r="H447" i="5"/>
  <c r="I446" i="5"/>
  <c r="H446" i="5"/>
  <c r="I445" i="5"/>
  <c r="H445" i="5"/>
  <c r="I444" i="5"/>
  <c r="H444" i="5"/>
  <c r="I443" i="5"/>
  <c r="H443" i="5"/>
  <c r="I442" i="5"/>
  <c r="H442" i="5"/>
  <c r="I441" i="5"/>
  <c r="H441" i="5"/>
  <c r="I440" i="5"/>
  <c r="H440" i="5"/>
  <c r="I439" i="5"/>
  <c r="H439" i="5"/>
  <c r="I438" i="5"/>
  <c r="H438" i="5"/>
  <c r="I437" i="5"/>
  <c r="H437" i="5"/>
  <c r="I436" i="5"/>
  <c r="H436" i="5"/>
  <c r="I435" i="5"/>
  <c r="H435" i="5"/>
  <c r="I434" i="5"/>
  <c r="H434" i="5"/>
  <c r="I433" i="5"/>
  <c r="H433" i="5"/>
  <c r="I432" i="5"/>
  <c r="H432" i="5"/>
  <c r="I431" i="5"/>
  <c r="H431" i="5"/>
  <c r="I430" i="5"/>
  <c r="H430" i="5"/>
  <c r="I429" i="5"/>
  <c r="H429" i="5"/>
  <c r="I428" i="5"/>
  <c r="H428" i="5"/>
  <c r="I427" i="5"/>
  <c r="H427" i="5"/>
  <c r="I426" i="5"/>
  <c r="H426" i="5"/>
  <c r="I425" i="5"/>
  <c r="H425" i="5"/>
  <c r="I424" i="5"/>
  <c r="H424" i="5"/>
  <c r="I423" i="5"/>
  <c r="H423" i="5"/>
  <c r="I422" i="5"/>
  <c r="H422" i="5"/>
  <c r="I421" i="5"/>
  <c r="H421" i="5"/>
  <c r="I420" i="5"/>
  <c r="H420" i="5"/>
  <c r="I419" i="5"/>
  <c r="H419" i="5"/>
  <c r="I418" i="5"/>
  <c r="H418" i="5"/>
  <c r="I417" i="5"/>
  <c r="H417" i="5"/>
  <c r="I416" i="5"/>
  <c r="H416" i="5"/>
  <c r="I415" i="5"/>
  <c r="H415" i="5"/>
  <c r="I414" i="5"/>
  <c r="H414" i="5"/>
  <c r="I413" i="5"/>
  <c r="H413" i="5"/>
  <c r="I412" i="5"/>
  <c r="H412" i="5"/>
  <c r="I411" i="5"/>
  <c r="H411" i="5"/>
  <c r="I410" i="5"/>
  <c r="H410" i="5"/>
  <c r="I409" i="5"/>
  <c r="H409" i="5"/>
  <c r="I408" i="5"/>
  <c r="H408" i="5"/>
  <c r="I407" i="5"/>
  <c r="H407" i="5"/>
  <c r="I406" i="5"/>
  <c r="H406" i="5"/>
  <c r="I405" i="5"/>
  <c r="H405" i="5"/>
  <c r="I404" i="5"/>
  <c r="H404" i="5"/>
  <c r="I403" i="5"/>
  <c r="H403" i="5"/>
  <c r="I402" i="5"/>
  <c r="H402" i="5"/>
  <c r="I401" i="5"/>
  <c r="H401" i="5"/>
  <c r="I400" i="5"/>
  <c r="H400" i="5"/>
  <c r="I399" i="5"/>
  <c r="H399" i="5"/>
  <c r="I398" i="5"/>
  <c r="H398" i="5"/>
  <c r="I397" i="5"/>
  <c r="H397" i="5"/>
  <c r="I396" i="5"/>
  <c r="H396" i="5"/>
  <c r="I395" i="5"/>
  <c r="H395" i="5"/>
  <c r="I394" i="5"/>
  <c r="H394" i="5"/>
  <c r="I393" i="5"/>
  <c r="H393" i="5"/>
  <c r="I392" i="5"/>
  <c r="H392" i="5"/>
  <c r="I391" i="5"/>
  <c r="H391" i="5"/>
  <c r="I390" i="5"/>
  <c r="H390" i="5"/>
  <c r="I389" i="5"/>
  <c r="H389" i="5"/>
  <c r="I388" i="5"/>
  <c r="H388" i="5"/>
  <c r="I387" i="5"/>
  <c r="H387" i="5"/>
  <c r="I386" i="5"/>
  <c r="H386" i="5"/>
  <c r="I385" i="5"/>
  <c r="H385" i="5"/>
  <c r="I384" i="5"/>
  <c r="H384" i="5"/>
  <c r="I383" i="5"/>
  <c r="H383" i="5"/>
  <c r="I382" i="5"/>
  <c r="H382" i="5"/>
  <c r="I381" i="5"/>
  <c r="H381" i="5"/>
  <c r="I380" i="5"/>
  <c r="H380" i="5"/>
  <c r="I379" i="5"/>
  <c r="H379" i="5"/>
  <c r="I378" i="5"/>
  <c r="H378" i="5"/>
  <c r="I377" i="5"/>
  <c r="H377" i="5"/>
  <c r="I376" i="5"/>
  <c r="H376" i="5"/>
  <c r="I375" i="5"/>
  <c r="H375" i="5"/>
  <c r="I374" i="5"/>
  <c r="H374" i="5"/>
  <c r="I373" i="5"/>
  <c r="H373" i="5"/>
  <c r="I372" i="5"/>
  <c r="H372" i="5"/>
  <c r="I371" i="5"/>
  <c r="H371" i="5"/>
  <c r="I370" i="5"/>
  <c r="H370" i="5"/>
  <c r="I369" i="5"/>
  <c r="H369" i="5"/>
  <c r="I368" i="5"/>
  <c r="H368" i="5"/>
  <c r="I367" i="5"/>
  <c r="H367" i="5"/>
  <c r="I366" i="5"/>
  <c r="H366" i="5"/>
  <c r="I365" i="5"/>
  <c r="H365" i="5"/>
  <c r="I364" i="5"/>
  <c r="H364" i="5"/>
  <c r="I363" i="5"/>
  <c r="H363" i="5"/>
  <c r="I362" i="5"/>
  <c r="H362" i="5"/>
  <c r="I361" i="5"/>
  <c r="H361" i="5"/>
  <c r="I360" i="5"/>
  <c r="H360" i="5"/>
  <c r="I359" i="5"/>
  <c r="H359" i="5"/>
  <c r="I358" i="5"/>
  <c r="H358" i="5"/>
  <c r="I357" i="5"/>
  <c r="H357" i="5"/>
  <c r="I356" i="5"/>
  <c r="H356" i="5"/>
  <c r="I355" i="5"/>
  <c r="H355" i="5"/>
  <c r="I354" i="5"/>
  <c r="H354" i="5"/>
  <c r="I353" i="5"/>
  <c r="H353" i="5"/>
  <c r="I352" i="5"/>
  <c r="H352" i="5"/>
  <c r="I351" i="5"/>
  <c r="H351" i="5"/>
  <c r="I350" i="5"/>
  <c r="H350" i="5"/>
  <c r="I349" i="5"/>
  <c r="H349" i="5"/>
  <c r="I348" i="5"/>
  <c r="H348" i="5"/>
  <c r="I347" i="5"/>
  <c r="H347" i="5"/>
  <c r="I346" i="5"/>
  <c r="H346" i="5"/>
  <c r="I345" i="5"/>
  <c r="H345" i="5"/>
  <c r="I344" i="5"/>
  <c r="H344" i="5"/>
  <c r="I343" i="5"/>
  <c r="H343" i="5"/>
  <c r="I342" i="5"/>
  <c r="H342" i="5"/>
  <c r="I341" i="5"/>
  <c r="H341" i="5"/>
  <c r="I340" i="5"/>
  <c r="H340" i="5"/>
  <c r="I339" i="5"/>
  <c r="H339" i="5"/>
  <c r="I338" i="5"/>
  <c r="H338" i="5"/>
  <c r="I337" i="5"/>
  <c r="H337" i="5"/>
  <c r="I336" i="5"/>
  <c r="H336" i="5"/>
  <c r="I335" i="5"/>
  <c r="H335" i="5"/>
  <c r="I334" i="5"/>
  <c r="H334" i="5"/>
  <c r="I333" i="5"/>
  <c r="H333" i="5"/>
  <c r="I332" i="5"/>
  <c r="H332" i="5"/>
  <c r="I331" i="5"/>
  <c r="H331" i="5"/>
  <c r="I330" i="5"/>
  <c r="H330" i="5"/>
  <c r="I329" i="5"/>
  <c r="H329" i="5"/>
  <c r="I328" i="5"/>
  <c r="H328" i="5"/>
  <c r="I327" i="5"/>
  <c r="H327" i="5"/>
  <c r="I326" i="5"/>
  <c r="H326" i="5"/>
  <c r="I325" i="5"/>
  <c r="H325" i="5"/>
  <c r="I324" i="5"/>
  <c r="H324" i="5"/>
  <c r="I323" i="5"/>
  <c r="H323" i="5"/>
  <c r="I322" i="5"/>
  <c r="H322" i="5"/>
  <c r="I321" i="5"/>
  <c r="H321" i="5"/>
  <c r="I320" i="5"/>
  <c r="H320" i="5"/>
  <c r="I319" i="5"/>
  <c r="H319" i="5"/>
  <c r="I318" i="5"/>
  <c r="H318" i="5"/>
  <c r="I317" i="5"/>
  <c r="H317" i="5"/>
  <c r="I316" i="5"/>
  <c r="H316" i="5"/>
  <c r="I315" i="5"/>
  <c r="H315" i="5"/>
  <c r="I314" i="5"/>
  <c r="H314" i="5"/>
  <c r="I313" i="5"/>
  <c r="H313" i="5"/>
  <c r="I312" i="5"/>
  <c r="H312" i="5"/>
  <c r="I311" i="5"/>
  <c r="H311" i="5"/>
  <c r="I310" i="5"/>
  <c r="H310" i="5"/>
  <c r="I309" i="5"/>
  <c r="H309" i="5"/>
  <c r="I308" i="5"/>
  <c r="H308" i="5"/>
  <c r="I307" i="5"/>
  <c r="H307" i="5"/>
  <c r="I306" i="5"/>
  <c r="H306" i="5"/>
  <c r="I305" i="5"/>
  <c r="H305" i="5"/>
  <c r="I304" i="5"/>
  <c r="H304" i="5"/>
  <c r="I303" i="5"/>
  <c r="H303" i="5"/>
  <c r="I302" i="5"/>
  <c r="H302" i="5"/>
  <c r="I301" i="5"/>
  <c r="H301" i="5"/>
  <c r="I300" i="5"/>
  <c r="H300" i="5"/>
  <c r="I299" i="5"/>
  <c r="H299" i="5"/>
  <c r="I298" i="5"/>
  <c r="H298" i="5"/>
  <c r="I297" i="5"/>
  <c r="H297" i="5"/>
  <c r="I296" i="5"/>
  <c r="H296" i="5"/>
  <c r="I295" i="5"/>
  <c r="H295" i="5"/>
  <c r="I294" i="5"/>
  <c r="H294" i="5"/>
  <c r="I293" i="5"/>
  <c r="H293" i="5"/>
  <c r="I292" i="5"/>
  <c r="H292" i="5"/>
  <c r="I291" i="5"/>
  <c r="H291" i="5"/>
  <c r="I290" i="5"/>
  <c r="H290" i="5"/>
  <c r="I289" i="5"/>
  <c r="H289" i="5"/>
  <c r="I288" i="5"/>
  <c r="H288" i="5"/>
  <c r="I287" i="5"/>
  <c r="H287" i="5"/>
  <c r="I286" i="5"/>
  <c r="H286" i="5"/>
  <c r="I285" i="5"/>
  <c r="H285" i="5"/>
  <c r="I284" i="5"/>
  <c r="H284" i="5"/>
  <c r="I283" i="5"/>
  <c r="H283" i="5"/>
  <c r="I282" i="5"/>
  <c r="H282" i="5"/>
  <c r="I281" i="5"/>
  <c r="H281" i="5"/>
  <c r="I280" i="5"/>
  <c r="H280" i="5"/>
  <c r="I279" i="5"/>
  <c r="H279" i="5"/>
  <c r="I278" i="5"/>
  <c r="H278" i="5"/>
  <c r="I277" i="5"/>
  <c r="H277" i="5"/>
  <c r="I276" i="5"/>
  <c r="H276" i="5"/>
  <c r="I275" i="5"/>
  <c r="H275" i="5"/>
  <c r="I274" i="5"/>
  <c r="H274" i="5"/>
  <c r="I273" i="5"/>
  <c r="H273" i="5"/>
  <c r="I272" i="5"/>
  <c r="H272" i="5"/>
  <c r="I271" i="5"/>
  <c r="H271" i="5"/>
  <c r="I270" i="5"/>
  <c r="H270" i="5"/>
  <c r="I269" i="5"/>
  <c r="H269" i="5"/>
  <c r="I268" i="5"/>
  <c r="H268" i="5"/>
  <c r="I267" i="5"/>
  <c r="H267" i="5"/>
  <c r="I266" i="5"/>
  <c r="H266" i="5"/>
  <c r="I265" i="5"/>
  <c r="H265" i="5"/>
  <c r="I264" i="5"/>
  <c r="H264" i="5"/>
  <c r="I263" i="5"/>
  <c r="H263" i="5"/>
  <c r="I262" i="5"/>
  <c r="H262" i="5"/>
  <c r="I261" i="5"/>
  <c r="H261" i="5"/>
  <c r="I260" i="5"/>
  <c r="H260" i="5"/>
  <c r="I259" i="5"/>
  <c r="H259" i="5"/>
  <c r="I258" i="5"/>
  <c r="H258" i="5"/>
  <c r="I257" i="5"/>
  <c r="H257" i="5"/>
  <c r="I256" i="5"/>
  <c r="H256" i="5"/>
  <c r="I255" i="5"/>
  <c r="H255" i="5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47" i="5"/>
  <c r="H47" i="5"/>
  <c r="I46" i="5"/>
  <c r="H46" i="5"/>
  <c r="I45" i="5"/>
  <c r="H45" i="5"/>
  <c r="I44" i="5"/>
  <c r="H44" i="5"/>
  <c r="I43" i="5"/>
  <c r="H43" i="5"/>
  <c r="I42" i="5"/>
  <c r="H42" i="5"/>
  <c r="I41" i="5"/>
  <c r="H41" i="5"/>
  <c r="I40" i="5"/>
  <c r="H40" i="5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I5" i="5"/>
  <c r="H5" i="5"/>
  <c r="I4" i="5"/>
  <c r="H4" i="5"/>
  <c r="I3" i="5"/>
  <c r="H3" i="5"/>
  <c r="I2" i="5"/>
  <c r="H2" i="5"/>
  <c r="E96" i="4"/>
  <c r="D96" i="4"/>
  <c r="F96" i="4" s="1"/>
  <c r="G96" i="4" s="1"/>
  <c r="E95" i="4"/>
  <c r="D95" i="4"/>
  <c r="F95" i="4" s="1"/>
  <c r="G95" i="4" s="1"/>
  <c r="E94" i="4"/>
  <c r="D94" i="4"/>
  <c r="F94" i="4" s="1"/>
  <c r="G94" i="4" s="1"/>
  <c r="E93" i="4"/>
  <c r="D93" i="4"/>
  <c r="F93" i="4" s="1"/>
  <c r="G93" i="4" s="1"/>
  <c r="E92" i="4"/>
  <c r="D92" i="4"/>
  <c r="F92" i="4" s="1"/>
  <c r="G92" i="4" s="1"/>
  <c r="E90" i="4"/>
  <c r="D90" i="4"/>
  <c r="F90" i="4" s="1"/>
  <c r="G90" i="4" s="1"/>
  <c r="E89" i="4"/>
  <c r="D89" i="4"/>
  <c r="F89" i="4" s="1"/>
  <c r="G89" i="4" s="1"/>
  <c r="E88" i="4"/>
  <c r="D88" i="4"/>
  <c r="F88" i="4" s="1"/>
  <c r="G88" i="4" s="1"/>
  <c r="E87" i="4"/>
  <c r="D87" i="4"/>
  <c r="F87" i="4" s="1"/>
  <c r="G87" i="4" s="1"/>
  <c r="E86" i="4"/>
  <c r="D86" i="4"/>
  <c r="F86" i="4" s="1"/>
  <c r="G86" i="4" s="1"/>
  <c r="E84" i="4"/>
  <c r="D84" i="4"/>
  <c r="F84" i="4" s="1"/>
  <c r="G84" i="4" s="1"/>
  <c r="E83" i="4"/>
  <c r="D83" i="4"/>
  <c r="F83" i="4" s="1"/>
  <c r="G83" i="4" s="1"/>
  <c r="E82" i="4"/>
  <c r="D82" i="4"/>
  <c r="F82" i="4" s="1"/>
  <c r="G82" i="4" s="1"/>
  <c r="E81" i="4"/>
  <c r="D81" i="4"/>
  <c r="F81" i="4" s="1"/>
  <c r="G81" i="4" s="1"/>
  <c r="E80" i="4"/>
  <c r="D80" i="4"/>
  <c r="F80" i="4" s="1"/>
  <c r="G80" i="4" s="1"/>
  <c r="E79" i="4"/>
  <c r="D79" i="4"/>
  <c r="F79" i="4" s="1"/>
  <c r="G79" i="4" s="1"/>
  <c r="E78" i="4"/>
  <c r="D78" i="4"/>
  <c r="F78" i="4" s="1"/>
  <c r="G78" i="4" s="1"/>
  <c r="F77" i="4"/>
  <c r="G77" i="4" s="1"/>
  <c r="E75" i="4"/>
  <c r="D75" i="4"/>
  <c r="F75" i="4" s="1"/>
  <c r="G75" i="4" s="1"/>
  <c r="E74" i="4"/>
  <c r="D74" i="4"/>
  <c r="F74" i="4" s="1"/>
  <c r="G74" i="4" s="1"/>
  <c r="E73" i="4"/>
  <c r="D73" i="4"/>
  <c r="F73" i="4" s="1"/>
  <c r="G73" i="4" s="1"/>
  <c r="E72" i="4"/>
  <c r="D72" i="4"/>
  <c r="F72" i="4" s="1"/>
  <c r="G72" i="4" s="1"/>
  <c r="E71" i="4"/>
  <c r="D71" i="4"/>
  <c r="F71" i="4" s="1"/>
  <c r="G71" i="4" s="1"/>
  <c r="E70" i="4"/>
  <c r="D70" i="4"/>
  <c r="F70" i="4" s="1"/>
  <c r="G70" i="4" s="1"/>
  <c r="E69" i="4"/>
  <c r="D69" i="4"/>
  <c r="F69" i="4" s="1"/>
  <c r="G69" i="4" s="1"/>
  <c r="E68" i="4"/>
  <c r="D68" i="4"/>
  <c r="F68" i="4" s="1"/>
  <c r="G68" i="4" s="1"/>
  <c r="E67" i="4"/>
  <c r="D67" i="4"/>
  <c r="F67" i="4" s="1"/>
  <c r="G67" i="4" s="1"/>
  <c r="E66" i="4"/>
  <c r="D66" i="4"/>
  <c r="F66" i="4" s="1"/>
  <c r="G66" i="4" s="1"/>
  <c r="E65" i="4"/>
  <c r="D65" i="4"/>
  <c r="F65" i="4" s="1"/>
  <c r="G65" i="4" s="1"/>
  <c r="E64" i="4"/>
  <c r="D64" i="4"/>
  <c r="F64" i="4" s="1"/>
  <c r="G64" i="4" s="1"/>
  <c r="E63" i="4"/>
  <c r="D63" i="4"/>
  <c r="F63" i="4" s="1"/>
  <c r="G63" i="4" s="1"/>
  <c r="E62" i="4"/>
  <c r="D62" i="4"/>
  <c r="F62" i="4" s="1"/>
  <c r="G62" i="4" s="1"/>
  <c r="E61" i="4"/>
  <c r="D61" i="4"/>
  <c r="F61" i="4" s="1"/>
  <c r="G61" i="4" s="1"/>
  <c r="E59" i="4"/>
  <c r="D59" i="4"/>
  <c r="F59" i="4" s="1"/>
  <c r="G59" i="4" s="1"/>
  <c r="E58" i="4"/>
  <c r="D58" i="4"/>
  <c r="F58" i="4" s="1"/>
  <c r="G58" i="4" s="1"/>
  <c r="E57" i="4"/>
  <c r="D57" i="4"/>
  <c r="F57" i="4" s="1"/>
  <c r="G57" i="4" s="1"/>
  <c r="E56" i="4"/>
  <c r="D56" i="4"/>
  <c r="F56" i="4" s="1"/>
  <c r="G56" i="4" s="1"/>
  <c r="E55" i="4"/>
  <c r="D55" i="4"/>
  <c r="F55" i="4" s="1"/>
  <c r="G55" i="4" s="1"/>
  <c r="E54" i="4"/>
  <c r="D54" i="4"/>
  <c r="F54" i="4" s="1"/>
  <c r="G54" i="4" s="1"/>
  <c r="E53" i="4"/>
  <c r="D53" i="4"/>
  <c r="F53" i="4" s="1"/>
  <c r="G53" i="4" s="1"/>
  <c r="E52" i="4"/>
  <c r="D52" i="4"/>
  <c r="F52" i="4" s="1"/>
  <c r="G52" i="4" s="1"/>
  <c r="E51" i="4"/>
  <c r="D51" i="4"/>
  <c r="F51" i="4" s="1"/>
  <c r="G51" i="4" s="1"/>
  <c r="E50" i="4"/>
  <c r="D50" i="4"/>
  <c r="E48" i="4"/>
  <c r="D48" i="4"/>
  <c r="F48" i="4" s="1"/>
  <c r="G48" i="4" s="1"/>
  <c r="E47" i="4"/>
  <c r="D47" i="4"/>
  <c r="F47" i="4" s="1"/>
  <c r="G47" i="4" s="1"/>
  <c r="E46" i="4"/>
  <c r="D46" i="4"/>
  <c r="F46" i="4" s="1"/>
  <c r="G46" i="4" s="1"/>
  <c r="E45" i="4"/>
  <c r="D45" i="4"/>
  <c r="F45" i="4" s="1"/>
  <c r="G45" i="4" s="1"/>
  <c r="E44" i="4"/>
  <c r="D44" i="4"/>
  <c r="F44" i="4" s="1"/>
  <c r="G44" i="4" s="1"/>
  <c r="E43" i="4"/>
  <c r="D43" i="4"/>
  <c r="F43" i="4" s="1"/>
  <c r="G43" i="4" s="1"/>
  <c r="E42" i="4"/>
  <c r="D42" i="4"/>
  <c r="F42" i="4" s="1"/>
  <c r="G42" i="4" s="1"/>
  <c r="E41" i="4"/>
  <c r="D41" i="4"/>
  <c r="F41" i="4" s="1"/>
  <c r="G41" i="4" s="1"/>
  <c r="E40" i="4"/>
  <c r="D40" i="4"/>
  <c r="F40" i="4" s="1"/>
  <c r="G40" i="4" s="1"/>
  <c r="E39" i="4"/>
  <c r="D39" i="4"/>
  <c r="F39" i="4" s="1"/>
  <c r="G39" i="4" s="1"/>
  <c r="E38" i="4"/>
  <c r="D38" i="4"/>
  <c r="F38" i="4" s="1"/>
  <c r="G38" i="4" s="1"/>
  <c r="E37" i="4"/>
  <c r="D37" i="4"/>
  <c r="F37" i="4" s="1"/>
  <c r="G37" i="4" s="1"/>
  <c r="E35" i="4"/>
  <c r="D35" i="4"/>
  <c r="F35" i="4" s="1"/>
  <c r="G35" i="4" s="1"/>
  <c r="E34" i="4"/>
  <c r="D34" i="4"/>
  <c r="F34" i="4" s="1"/>
  <c r="G34" i="4" s="1"/>
  <c r="E33" i="4"/>
  <c r="D33" i="4"/>
  <c r="F33" i="4" s="1"/>
  <c r="G33" i="4" s="1"/>
  <c r="E32" i="4"/>
  <c r="D32" i="4"/>
  <c r="F32" i="4" s="1"/>
  <c r="G32" i="4" s="1"/>
  <c r="E31" i="4"/>
  <c r="D31" i="4"/>
  <c r="F31" i="4" s="1"/>
  <c r="G31" i="4" s="1"/>
  <c r="E30" i="4"/>
  <c r="D30" i="4"/>
  <c r="F30" i="4" s="1"/>
  <c r="G30" i="4" s="1"/>
  <c r="E29" i="4"/>
  <c r="D29" i="4"/>
  <c r="F29" i="4" s="1"/>
  <c r="G29" i="4" s="1"/>
  <c r="E28" i="4"/>
  <c r="D28" i="4"/>
  <c r="F28" i="4" s="1"/>
  <c r="G28" i="4" s="1"/>
  <c r="E27" i="4"/>
  <c r="D27" i="4"/>
  <c r="F27" i="4" s="1"/>
  <c r="G27" i="4" s="1"/>
  <c r="E26" i="4"/>
  <c r="D26" i="4"/>
  <c r="F26" i="4" s="1"/>
  <c r="G26" i="4" s="1"/>
  <c r="E25" i="4"/>
  <c r="D25" i="4"/>
  <c r="F25" i="4" s="1"/>
  <c r="G25" i="4" s="1"/>
  <c r="E24" i="4"/>
  <c r="D24" i="4"/>
  <c r="F24" i="4" s="1"/>
  <c r="G24" i="4" s="1"/>
  <c r="E22" i="4"/>
  <c r="D22" i="4"/>
  <c r="F22" i="4" s="1"/>
  <c r="G22" i="4" s="1"/>
  <c r="E21" i="4"/>
  <c r="D21" i="4"/>
  <c r="F21" i="4" s="1"/>
  <c r="G21" i="4" s="1"/>
  <c r="E20" i="4"/>
  <c r="D20" i="4"/>
  <c r="F20" i="4" s="1"/>
  <c r="G20" i="4" s="1"/>
  <c r="E19" i="4"/>
  <c r="D19" i="4"/>
  <c r="F19" i="4" s="1"/>
  <c r="G19" i="4" s="1"/>
  <c r="E18" i="4"/>
  <c r="D18" i="4"/>
  <c r="F18" i="4" s="1"/>
  <c r="G18" i="4" s="1"/>
  <c r="E17" i="4"/>
  <c r="D17" i="4"/>
  <c r="F17" i="4" s="1"/>
  <c r="G17" i="4" s="1"/>
  <c r="E16" i="4"/>
  <c r="D16" i="4"/>
  <c r="F16" i="4" s="1"/>
  <c r="G16" i="4" s="1"/>
  <c r="E15" i="4"/>
  <c r="D15" i="4"/>
  <c r="F15" i="4" s="1"/>
  <c r="G15" i="4" s="1"/>
  <c r="E14" i="4"/>
  <c r="D14" i="4"/>
  <c r="F14" i="4" s="1"/>
  <c r="G14" i="4" s="1"/>
  <c r="E13" i="4"/>
  <c r="D13" i="4"/>
  <c r="F13" i="4" s="1"/>
  <c r="G13" i="4" s="1"/>
  <c r="E12" i="4"/>
  <c r="D12" i="4"/>
  <c r="F12" i="4" s="1"/>
  <c r="G12" i="4" s="1"/>
  <c r="E11" i="4"/>
  <c r="D11" i="4"/>
  <c r="F11" i="4" s="1"/>
  <c r="G11" i="4" s="1"/>
  <c r="E10" i="4"/>
  <c r="D10" i="4"/>
  <c r="F10" i="4" s="1"/>
  <c r="G10" i="4" s="1"/>
  <c r="E9" i="4"/>
  <c r="D9" i="4"/>
  <c r="F9" i="4" s="1"/>
  <c r="G9" i="4" s="1"/>
  <c r="E8" i="4"/>
  <c r="D8" i="4"/>
  <c r="F8" i="4" s="1"/>
  <c r="G8" i="4" s="1"/>
  <c r="E7" i="4"/>
  <c r="D7" i="4"/>
  <c r="F7" i="4" s="1"/>
  <c r="G7" i="4" s="1"/>
  <c r="E6" i="4"/>
  <c r="D6" i="4"/>
  <c r="F6" i="4" s="1"/>
  <c r="G6" i="4" s="1"/>
  <c r="E5" i="4"/>
  <c r="D5" i="4"/>
  <c r="F5" i="4" s="1"/>
  <c r="G5" i="4" s="1"/>
  <c r="E4" i="4"/>
  <c r="D4" i="4"/>
  <c r="F4" i="4" s="1"/>
  <c r="G4" i="4" s="1"/>
  <c r="E3" i="4"/>
  <c r="D3" i="4"/>
  <c r="D28" i="2"/>
  <c r="C28" i="2"/>
  <c r="D27" i="2"/>
  <c r="C27" i="2"/>
  <c r="E27" i="2" s="1"/>
  <c r="D26" i="2"/>
  <c r="C26" i="2"/>
  <c r="D25" i="2"/>
  <c r="C25" i="2"/>
  <c r="D24" i="2"/>
  <c r="C24" i="2"/>
  <c r="D23" i="2"/>
  <c r="C23" i="2"/>
  <c r="E23" i="2" s="1"/>
  <c r="D22" i="2"/>
  <c r="C22" i="2"/>
  <c r="D21" i="2"/>
  <c r="C21" i="2"/>
  <c r="D16" i="2"/>
  <c r="E16" i="2" s="1"/>
  <c r="C16" i="2"/>
  <c r="D15" i="2"/>
  <c r="E15" i="2" s="1"/>
  <c r="C15" i="2"/>
  <c r="D14" i="2"/>
  <c r="E14" i="2" s="1"/>
  <c r="C14" i="2"/>
  <c r="D13" i="2"/>
  <c r="E13" i="2" s="1"/>
  <c r="C13" i="2"/>
  <c r="N8" i="2"/>
  <c r="J8" i="2"/>
  <c r="F8" i="2"/>
  <c r="B8" i="2"/>
  <c r="B15" i="1"/>
  <c r="B14" i="1"/>
  <c r="B10" i="1"/>
  <c r="B9" i="1"/>
  <c r="B5" i="1"/>
  <c r="B4" i="1"/>
  <c r="E25" i="2" l="1"/>
  <c r="E22" i="2"/>
  <c r="E28" i="2"/>
  <c r="E24" i="2"/>
  <c r="F50" i="4"/>
  <c r="G50" i="4" s="1"/>
  <c r="E26" i="2"/>
  <c r="F3" i="4"/>
  <c r="G3" i="4" s="1"/>
  <c r="E21" i="2"/>
  <c r="E14" i="6"/>
  <c r="E30" i="6"/>
  <c r="E46" i="6"/>
  <c r="E62" i="6"/>
  <c r="E78" i="6"/>
  <c r="E94" i="6"/>
  <c r="E110" i="6"/>
  <c r="E126" i="6"/>
  <c r="E142" i="6"/>
  <c r="E158" i="6"/>
  <c r="E174" i="6"/>
  <c r="E190" i="6"/>
  <c r="E9" i="6"/>
  <c r="E25" i="6"/>
  <c r="E41" i="6"/>
  <c r="E57" i="6"/>
  <c r="E73" i="6"/>
  <c r="E89" i="6"/>
  <c r="E105" i="6"/>
  <c r="E121" i="6"/>
  <c r="E137" i="6"/>
  <c r="E153" i="6"/>
  <c r="E169" i="6"/>
  <c r="E185" i="6"/>
  <c r="E5" i="6"/>
  <c r="E21" i="6"/>
  <c r="E37" i="6"/>
  <c r="E53" i="6"/>
  <c r="E69" i="6"/>
  <c r="E85" i="6"/>
  <c r="E101" i="6"/>
  <c r="E117" i="6"/>
  <c r="E133" i="6"/>
  <c r="E149" i="6"/>
  <c r="E165" i="6"/>
  <c r="E181" i="6"/>
  <c r="E197" i="6"/>
  <c r="E12" i="6"/>
  <c r="E28" i="6"/>
  <c r="E44" i="6"/>
  <c r="E60" i="6"/>
  <c r="E76" i="6"/>
  <c r="E92" i="6"/>
  <c r="E108" i="6"/>
  <c r="E124" i="6"/>
  <c r="E140" i="6"/>
  <c r="E156" i="6"/>
  <c r="E172" i="6"/>
  <c r="E188" i="6"/>
</calcChain>
</file>

<file path=xl/sharedStrings.xml><?xml version="1.0" encoding="utf-8"?>
<sst xmlns="http://schemas.openxmlformats.org/spreadsheetml/2006/main" count="1259" uniqueCount="290">
  <si>
    <t>TABELAS AUXILIARES PARA OS GRÁFICOS DO DASHBOARD</t>
  </si>
  <si>
    <t>Status Edital Geral</t>
  </si>
  <si>
    <t>Quantidade</t>
  </si>
  <si>
    <t>Estudado</t>
  </si>
  <si>
    <t>Pendente</t>
  </si>
  <si>
    <t>Status Português</t>
  </si>
  <si>
    <t>Questões</t>
  </si>
  <si>
    <t>Acertos</t>
  </si>
  <si>
    <t>Erros</t>
  </si>
  <si>
    <t>PLANILHA DE PREPARAÇÃO | POLÍCIA MILITAR DO MARANHÃO 2026
Cronograma diário focado no edital (Cebraspe) e TAF</t>
  </si>
  <si>
    <t>Gênero padrão para metas do TAF (Mudar se necessário):</t>
  </si>
  <si>
    <t>Masculino</t>
  </si>
  <si>
    <t>QUESTÕES RESOLVIDAS</t>
  </si>
  <si>
    <t>APROVEITAMENTO GERAL</t>
  </si>
  <si>
    <t>COBERTURA DO EDITAL</t>
  </si>
  <si>
    <t>TREINOS TAF REALIZADOS</t>
  </si>
  <si>
    <t>ÍNDICES E METAS DO TAF (CONFORME EDITAL)</t>
  </si>
  <si>
    <t>Exercício</t>
  </si>
  <si>
    <t>Meta Mínima Edital</t>
  </si>
  <si>
    <t>Seu Melhor Treino</t>
  </si>
  <si>
    <t>Status de Aptidão</t>
  </si>
  <si>
    <t>Barra Fixa</t>
  </si>
  <si>
    <t>Meio Sugado (1 min)</t>
  </si>
  <si>
    <t>Abdominal Remador (1 min)</t>
  </si>
  <si>
    <t>Corrida (12 min)</t>
  </si>
  <si>
    <t>DESEMPENHO POR DISCIPLINA</t>
  </si>
  <si>
    <t>Matéria</t>
  </si>
  <si>
    <t>Questões Feitas</t>
  </si>
  <si>
    <t>% Aproveitamento</t>
  </si>
  <si>
    <t>Língua Portuguesa</t>
  </si>
  <si>
    <t>História do Brasil</t>
  </si>
  <si>
    <t>História do Maranhão</t>
  </si>
  <si>
    <t>Geografia do Brasil</t>
  </si>
  <si>
    <t>Geografia do Maranhão</t>
  </si>
  <si>
    <t>Legislação Pertinente à PMMA</t>
  </si>
  <si>
    <t>Legislação Institucional</t>
  </si>
  <si>
    <t>Noções de Informática</t>
  </si>
  <si>
    <t>Data</t>
  </si>
  <si>
    <t>Dia da Semana</t>
  </si>
  <si>
    <t>Semana</t>
  </si>
  <si>
    <t>Matéria 1</t>
  </si>
  <si>
    <t>Assunto 1</t>
  </si>
  <si>
    <t>Matéria 2</t>
  </si>
  <si>
    <t>Assunto 2</t>
  </si>
  <si>
    <t>Ciclo de Estudos Diário</t>
  </si>
  <si>
    <t>Foco</t>
  </si>
  <si>
    <t>Concluído?</t>
  </si>
  <si>
    <t>14/07/2026</t>
  </si>
  <si>
    <t>Terça-feira</t>
  </si>
  <si>
    <t>Semana 1</t>
  </si>
  <si>
    <t>Decreto nº 88.777/1983 (R-200) e suas alterações - Capítulos I a III (Conceitos básicos, subordinação).</t>
  </si>
  <si>
    <t>A integração ao processo de internacionalização da economia.</t>
  </si>
  <si>
    <t>Revisão Dia Anterior (20m) -&gt; Teoria do Dia (20%) -&gt; Questões Cebraspe (80%)</t>
  </si>
  <si>
    <t>80% Questões / 20% Teoria (Pareto)</t>
  </si>
  <si>
    <t>A Estudar</t>
  </si>
  <si>
    <t>15/07/2026</t>
  </si>
  <si>
    <t>Quarta-feira</t>
  </si>
  <si>
    <t>A contribuição dos índios e negros para a formação do Brasil.</t>
  </si>
  <si>
    <t>Localização do Estado do Maranhão: superfície, limites, fronteiras, pontos extremos.</t>
  </si>
  <si>
    <t>16/07/2026</t>
  </si>
  <si>
    <t>Quinta-feira</t>
  </si>
  <si>
    <t>Compreensão e interpretação de textos de gêneros variados. Reconhecimento de tipos e gêneros textuais.</t>
  </si>
  <si>
    <t>Noções de sistema operacional (ambientes Linux e Windows) e gerenciamento de arquivos/pastas.</t>
  </si>
  <si>
    <t>17/07/2026</t>
  </si>
  <si>
    <t>Sexta-feira</t>
  </si>
  <si>
    <t>Lei Estadual nº 6.513/1995 (Estatuto) - Deveres, Obrigações e Ética Policial-Militar.</t>
  </si>
  <si>
    <t>França equinocial: expedição de Daniel de La Touche.</t>
  </si>
  <si>
    <t>18/07/2026</t>
  </si>
  <si>
    <t>Sábado</t>
  </si>
  <si>
    <t>SIMULADO GERAL</t>
  </si>
  <si>
    <t>Simulado de Questões estilo Cebraspe (Certo/Errado)</t>
  </si>
  <si>
    <t>REVISÃO SEMANAL</t>
  </si>
  <si>
    <t>Revisar todos os erros e mapas mentais da semana</t>
  </si>
  <si>
    <t>Executar prova simulada completa no tempo real</t>
  </si>
  <si>
    <t>Prática Real Cebraspe</t>
  </si>
  <si>
    <t>19/07/2026</t>
  </si>
  <si>
    <t>Domingo</t>
  </si>
  <si>
    <t>TAF (Físico)</t>
  </si>
  <si>
    <t>Simulado TAF: Corrida, Abdominal, Meio Sugado e Barra</t>
  </si>
  <si>
    <t>DESCANSO</t>
  </si>
  <si>
    <t>Recuperação muscular e descanso mental</t>
  </si>
  <si>
    <t>Simulado Físico do TAF oficial PMMA</t>
  </si>
  <si>
    <t>Treino Físico</t>
  </si>
  <si>
    <t>20/07/2026</t>
  </si>
  <si>
    <t>Segunda-feira</t>
  </si>
  <si>
    <t>Semana 2</t>
  </si>
  <si>
    <t>Domínio dos mecanismos de coesão textual (emprego de elementos de referenciação, substituição, repetição).</t>
  </si>
  <si>
    <t>Fundação de São Luís e Batalha de Guaxenduba (1615).</t>
  </si>
  <si>
    <t>21/07/2026</t>
  </si>
  <si>
    <t>Decreto nº 88.777/1983 (R-200) - Capítulos IV a VI (Hierarquia, uso de uniformes, controle).</t>
  </si>
  <si>
    <t>O processo de industrialização e suas repercussões na organização do espaço.</t>
  </si>
  <si>
    <t>22/07/2026</t>
  </si>
  <si>
    <t>A formação do Brasil Contemporâneo.</t>
  </si>
  <si>
    <t>Áreas de proteção ambiental (APA) e Parques nacionais do Maranhão.</t>
  </si>
  <si>
    <t>23/07/2026</t>
  </si>
  <si>
    <t>Domínio da ortografia oficial (dígrafo, encontros vocálicos/consonantais).</t>
  </si>
  <si>
    <t>Edição de textos, planilhas e apresentações (Microsoft Office e BrOffice).</t>
  </si>
  <si>
    <t>24/07/2026</t>
  </si>
  <si>
    <t>Lei Estadual nº 6.513/1995 (Estatuto) - Direitos e Prerrogativas dos Policiais Militares.</t>
  </si>
  <si>
    <t>Climas do Maranhão: pluviosidade e temperatura.</t>
  </si>
  <si>
    <t>25/07/2026</t>
  </si>
  <si>
    <t>26/07/2026</t>
  </si>
  <si>
    <t>27/07/2026</t>
  </si>
  <si>
    <t>Semana 3</t>
  </si>
  <si>
    <t>Acentuação gráfica oficial.</t>
  </si>
  <si>
    <t>Capitães-mores do Maranhão.</t>
  </si>
  <si>
    <t>28/07/2026</t>
  </si>
  <si>
    <t>Decreto-lei nº 1.001/1969 (Código Penal Militar) - Dos Crimes contra a Autoridade ou Disciplina Militar.</t>
  </si>
  <si>
    <t>A rede brasileira de transportes e sua evolução.</t>
  </si>
  <si>
    <t>29/07/2026</t>
  </si>
  <si>
    <t>A República Velha e as estruturas oligárquicas.</t>
  </si>
  <si>
    <t>Geomorfologia e Classificação do relevo maranhense: planaltos, planícies e baixadas.</t>
  </si>
  <si>
    <t>30/07/2026</t>
  </si>
  <si>
    <t>Emprego das classes de palavras: Substantivo e Adjetivo.</t>
  </si>
  <si>
    <t>Redes de computadores: conceitos, internet, intranet, navegadores e e-mail.</t>
  </si>
  <si>
    <t>31/07/2026</t>
  </si>
  <si>
    <t>Lei Estadual nº 6.513/1995 (Estatuto) - Do Regime Disciplinar e Recompensas.</t>
  </si>
  <si>
    <t>Invasão holandesa (1641-1644) e Expulsão dos holandeses.</t>
  </si>
  <si>
    <t>01/08/2026</t>
  </si>
  <si>
    <t>02/08/2026</t>
  </si>
  <si>
    <t>03/08/2026</t>
  </si>
  <si>
    <t>Semana 4</t>
  </si>
  <si>
    <t>Emprego das classes de palavras: Artigo, Numeral e Interjeição.</t>
  </si>
  <si>
    <t>Estado do Maranhão e Grão-Pará: Revolta de Bequimão (causas e objetivos da revolta).</t>
  </si>
  <si>
    <t>04/08/2026</t>
  </si>
  <si>
    <t>Decreto-lei nº 1.001/1969 (Código Penal Militar) - Dos Crimes contra o Serviço Militar e o Dever Militar.</t>
  </si>
  <si>
    <t>A estrutura urbana brasileira e as grandes metrópoles.</t>
  </si>
  <si>
    <t>05/08/2026</t>
  </si>
  <si>
    <t>Economia e Sociedade na República Velha: o café e estratificação social.</t>
  </si>
  <si>
    <t>Características dos rios maranhenses: bacias dos rios limítrofes (Parnaíba, Gurupi e Tocantins-Araguaia).</t>
  </si>
  <si>
    <t>06/08/2026</t>
  </si>
  <si>
    <t>Emprego das classes de palavras: Pronome (pessoais, possessivos, demonstrativos, etc.).</t>
  </si>
  <si>
    <t>Computação na nuvem (cloud computing/storage).</t>
  </si>
  <si>
    <t>07/08/2026</t>
  </si>
  <si>
    <t>Lei Estadual nº 6.513/1995 (Estatuto) - Do Conselho de Disciplina e Conselho de Justificação.</t>
  </si>
  <si>
    <t>Bacias dos rios genuinamente maranhenses.</t>
  </si>
  <si>
    <t>08/08/2026</t>
  </si>
  <si>
    <t>09/08/2026</t>
  </si>
  <si>
    <t>10/08/2026</t>
  </si>
  <si>
    <t>Semana 5</t>
  </si>
  <si>
    <t>Emprego das classes de palavras: Advérbio e Preposição.</t>
  </si>
  <si>
    <t>Companhia de Comércio do Maranhão e Grão-Pará.</t>
  </si>
  <si>
    <t>11/08/2026</t>
  </si>
  <si>
    <t>Lei Estadual nº 6.513/1995 (Estatuto) - Hierarquia e Disciplina (Art. 1º a 30).</t>
  </si>
  <si>
    <t>A dinâmica das fronteiras agrícolas e sua expansão para o Centro-Oeste e a Amazônia.</t>
  </si>
  <si>
    <t>12/08/2026</t>
  </si>
  <si>
    <t>A Revolução de 1930.</t>
  </si>
  <si>
    <t>Principais formações vegetais: floresta, cerrado e cocais.</t>
  </si>
  <si>
    <t>13/08/2026</t>
  </si>
  <si>
    <t>Emprego das classes de palavras: Conjunção (coordenativas e subordinativas).</t>
  </si>
  <si>
    <t>Segurança da informação: vírus, worms, antivírus, firewall e procedimentos de backup.</t>
  </si>
  <si>
    <t>14/08/2026</t>
  </si>
  <si>
    <t>Lei Estadual nº 6.513/1995 (Estatuto) - Promoções e Agregação.</t>
  </si>
  <si>
    <t>Período do Império: adesão do Maranhão à Independência do Brasil.</t>
  </si>
  <si>
    <t>15/08/2026</t>
  </si>
  <si>
    <t>16/08/2026</t>
  </si>
  <si>
    <t>17/08/2026</t>
  </si>
  <si>
    <t>Semana 6</t>
  </si>
  <si>
    <t>Emprego de tempos e modos verbais. Flexão e vozes verbais.</t>
  </si>
  <si>
    <t>Causas da não adesão inicial do Maranhão e Batalha do Jenipapo.</t>
  </si>
  <si>
    <t>18/08/2026</t>
  </si>
  <si>
    <t>Lei Estadual nº 10.823/2018 e suas alterações - Criação e Transformação de Organizações Policiais Militares.</t>
  </si>
  <si>
    <t>A evolução da estrutura fundiária e problemas demográficos.</t>
  </si>
  <si>
    <t>19/08/2026</t>
  </si>
  <si>
    <t>A Era Vargas: política, economia e sociedade (1930-1945).</t>
  </si>
  <si>
    <t>Geografia da população: população absoluta, densidade demográfica, povoamento.</t>
  </si>
  <si>
    <t>20/08/2026</t>
  </si>
  <si>
    <t>Relações de coordenação entre orações e entre termos da oração.</t>
  </si>
  <si>
    <t>Revisão Geral e Resolução de Questões Cebraspe (Foco em erros anteriores)</t>
  </si>
  <si>
    <t>21/08/2026</t>
  </si>
  <si>
    <t>Movimentos populacionais no Maranhão.</t>
  </si>
  <si>
    <t>22/08/2026</t>
  </si>
  <si>
    <t>23/08/2026</t>
  </si>
  <si>
    <t>24/08/2026</t>
  </si>
  <si>
    <t>Semana 7</t>
  </si>
  <si>
    <t>Relações de subordinação entre orações e entre termos da oração.</t>
  </si>
  <si>
    <t>Balaiada (1838-1841): caracterização e causas do movimento.</t>
  </si>
  <si>
    <t>25/08/2026</t>
  </si>
  <si>
    <t>Lei nº 14.751/2023 - Lei Orgânica Nacional das PMs e CBMs (Diretrizes e Competências).</t>
  </si>
  <si>
    <t>Os movimentos migratórios internos no Brasil.</t>
  </si>
  <si>
    <t>26/08/2026</t>
  </si>
  <si>
    <t>O período democrático (1945 a 1964): Redemocratização e constituição de 1946.</t>
  </si>
  <si>
    <t>Agricultura maranhense: caracterização e principais produtos agrícolas.</t>
  </si>
  <si>
    <t>27/08/2026</t>
  </si>
  <si>
    <t>Concordância verbal e nominal.</t>
  </si>
  <si>
    <t>28/08/2026</t>
  </si>
  <si>
    <t>Período Republicano: adesão do Maranhão à República.</t>
  </si>
  <si>
    <t>29/08/2026</t>
  </si>
  <si>
    <t>30/08/2026</t>
  </si>
  <si>
    <t>31/08/2026</t>
  </si>
  <si>
    <t>Semana 8</t>
  </si>
  <si>
    <t>Regência verbal e nominal.</t>
  </si>
  <si>
    <t>Revolução de 1930 no Maranhão.</t>
  </si>
  <si>
    <t>01/09/2026</t>
  </si>
  <si>
    <t>Lei nº 14.751/2023 - Lei Orgânica Nacional (Garantias e Prerrogativas).</t>
  </si>
  <si>
    <t>A população brasileira: distribuição, crescimento no século XX, estrutura etária.</t>
  </si>
  <si>
    <t>02/09/2026</t>
  </si>
  <si>
    <t>A política de industrialização do governo JK.</t>
  </si>
  <si>
    <t>Caracterização da pecuária no Maranhão.</t>
  </si>
  <si>
    <t>03/09/2026</t>
  </si>
  <si>
    <t>Emprego do sinal indicativo de crase.</t>
  </si>
  <si>
    <t>04/09/2026</t>
  </si>
  <si>
    <t>Extrativismo: vegetal, animal e mineral.</t>
  </si>
  <si>
    <t>05/09/2026</t>
  </si>
  <si>
    <t>06/09/2026</t>
  </si>
  <si>
    <t>07/09/2026</t>
  </si>
  <si>
    <t>Semana 9</t>
  </si>
  <si>
    <t>Colocação dos pronomes átonos (próclise, mesóclise, ênclise).</t>
  </si>
  <si>
    <t>Principais fatos políticos, econômicos e sociais ocorridos no Maranhão na segunda metade do século XX.</t>
  </si>
  <si>
    <t>08/09/2026</t>
  </si>
  <si>
    <t>Integração entre indústria, estrutura urbana, rede de transportes e setor agrícola.</t>
  </si>
  <si>
    <t>09/09/2026</t>
  </si>
  <si>
    <t>A crise do regime democrático (década de 1960).</t>
  </si>
  <si>
    <t>Parque industrial: indústrias de base e indústrias de transformação.</t>
  </si>
  <si>
    <t>10/09/2026</t>
  </si>
  <si>
    <t>Emprego dos sinais de pontuação (vírgula, dois-pontos, etc.).</t>
  </si>
  <si>
    <t>11/09/2026</t>
  </si>
  <si>
    <t>12/09/2026</t>
  </si>
  <si>
    <t>13/09/2026</t>
  </si>
  <si>
    <t>14/09/2026</t>
  </si>
  <si>
    <t>Semana 10</t>
  </si>
  <si>
    <t>Significação das palavras (sinônimos, antônimos, homônimos, parônimos).</t>
  </si>
  <si>
    <t>15/09/2026</t>
  </si>
  <si>
    <t>Recursos naturais: aproveitamento, desperdício e política de conservação de recursos naturais.</t>
  </si>
  <si>
    <t>16/09/2026</t>
  </si>
  <si>
    <t>O golpe de 1964 e o regime militar.</t>
  </si>
  <si>
    <t>Setor terciário: comércio, telecomunicações, transportes, malha viária, portos e aeroportos.</t>
  </si>
  <si>
    <t>17/09/2026</t>
  </si>
  <si>
    <t>Substituição de palavras ou de trechos de texto.</t>
  </si>
  <si>
    <t>18/09/2026</t>
  </si>
  <si>
    <t>Cultura maranhense.</t>
  </si>
  <si>
    <t>19/09/2026</t>
  </si>
  <si>
    <t>20/09/2026</t>
  </si>
  <si>
    <t>21/09/2026</t>
  </si>
  <si>
    <t>Semana 11</t>
  </si>
  <si>
    <t>Reorganização da estrutura de orações e de períodos do texto. Reescrita de textos de diferentes gêneros e níveis de formalidade.</t>
  </si>
  <si>
    <t>22/09/2026</t>
  </si>
  <si>
    <t>23/09/2026</t>
  </si>
  <si>
    <t>A crise do regime militar e a redemocratização do Brasil.</t>
  </si>
  <si>
    <t>24/09/2026</t>
  </si>
  <si>
    <t>25/09/2026</t>
  </si>
  <si>
    <t>26/09/2026</t>
  </si>
  <si>
    <t>27/09/2026</t>
  </si>
  <si>
    <t>28/09/2026</t>
  </si>
  <si>
    <t>Semana 12</t>
  </si>
  <si>
    <t>29/09/2026</t>
  </si>
  <si>
    <t>30/09/2026</t>
  </si>
  <si>
    <t>O Brasil político: nação e território, organização do Estado e evolução das Constituições.</t>
  </si>
  <si>
    <t>01/10/2026</t>
  </si>
  <si>
    <t>02/10/2026</t>
  </si>
  <si>
    <t>03/10/2026</t>
  </si>
  <si>
    <t>04/10/2026</t>
  </si>
  <si>
    <t>05/10/2026</t>
  </si>
  <si>
    <t>Semana 13</t>
  </si>
  <si>
    <t>06/10/2026</t>
  </si>
  <si>
    <t>07/10/2026</t>
  </si>
  <si>
    <t>08/10/2026</t>
  </si>
  <si>
    <t>09/10/2026</t>
  </si>
  <si>
    <t>10/10/2026</t>
  </si>
  <si>
    <t>Tópico do Edital (Syllabus Oficial)</t>
  </si>
  <si>
    <t>Estudado? (Sim/Não)</t>
  </si>
  <si>
    <t>% Acertos</t>
  </si>
  <si>
    <t>Aproveitamento</t>
  </si>
  <si>
    <t>LÍNGUA PORTUGUESA</t>
  </si>
  <si>
    <t>Não</t>
  </si>
  <si>
    <t>HISTÓRIA DO BRASIL</t>
  </si>
  <si>
    <t>HISTÓRIA DO MARANHÃO</t>
  </si>
  <si>
    <t>GEOGRAFIA DO BRASIL</t>
  </si>
  <si>
    <t>GEOGRAFIA DO MARANHÃO</t>
  </si>
  <si>
    <t>LEGISLAÇÃO PERTINENTE À PMMA</t>
  </si>
  <si>
    <t>LEGISLAÇÃO INSTITUCIONAL</t>
  </si>
  <si>
    <t>NOÇÕES DE INFORMÁTICA</t>
  </si>
  <si>
    <t>Assunto Oficial (Exato como Checklist)</t>
  </si>
  <si>
    <t>Tipo de Estudo</t>
  </si>
  <si>
    <t>Tempo (min)</t>
  </si>
  <si>
    <t>Aproveitamento %</t>
  </si>
  <si>
    <t>Anotações/Erros Comuns</t>
  </si>
  <si>
    <t>Anotação de exemplo: Cebraspe cobra muito inferência sutil. Errei 2 por pressa.</t>
  </si>
  <si>
    <t>Seu Resultado (Repetições/Metros/Segundos)</t>
  </si>
  <si>
    <t>Meta do Edital</t>
  </si>
  <si>
    <t>Aproveitamento (Fórmula)</t>
  </si>
  <si>
    <t>Status Treino</t>
  </si>
  <si>
    <t>Sim</t>
  </si>
  <si>
    <t xml:space="preserve">Prioridade máxima Errei
Art. 1º
Art. 2º (itens 7, 8, 14 e 25)
Art. 3º
Art. 8º (§ 4º)
</t>
  </si>
  <si>
    <t>Teoria</t>
  </si>
  <si>
    <t>Concluído</t>
  </si>
  <si>
    <t>Windows, Office, Redes e Software Livre</t>
  </si>
  <si>
    <t>O PowerPoint 2007 (e as versões mais recentes) possui um recurso nativo de impressão chamado "Folhetos". Ele permite economizar papel imprimindo múltiplos eslaides na mesma folha, nas opções exatas de: 1, 2, 3, 4, 6 e até 9 eslaides por página.
A partir da versão 2007 do Microsoft Office, a Microsoft introduziu o padrão XML. Com isso, os arquivos ganharam um "x" no final. Portanto, o padrão oficial do Word 2007 passou a ser .docx (o Excel virou .xlsx e o PowerPoint .pptx).</t>
  </si>
  <si>
    <t>A contribuição dos índios e negros para a formação do Brasil</t>
  </si>
  <si>
    <t>Meio Sugado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</si>
</sst>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70" formatCode="dd/mm/yyyy"/>
  </numFmts>
  <fonts count="14" x14ac:knownFonts="1">
    <font>
      <sz val="11"/>
      <color theme="1"/>
      <name val="Calibri"/>
      <family val="2"/>
      <scheme val="minor"/>
    </font>
    <font>
      <b/>
      <sz val="11"/>
      <name val="Segoe UI"/>
    </font>
    <font>
      <b/>
      <sz val="10"/>
      <color rgb="FF333333"/>
      <name val="Segoe UI"/>
    </font>
    <font>
      <b/>
      <sz val="13"/>
      <color rgb="FFFFFFFF"/>
      <name val="Segoe UI"/>
    </font>
    <font>
      <b/>
      <sz val="10"/>
      <color rgb="FFFFFFFF"/>
      <name val="Segoe UI"/>
    </font>
    <font>
      <b/>
      <sz val="9"/>
      <color rgb="FF7F8C8D"/>
      <name val="Segoe UI"/>
    </font>
    <font>
      <b/>
      <sz val="22"/>
      <color rgb="FF0A2540"/>
      <name val="Segoe UI"/>
    </font>
    <font>
      <b/>
      <sz val="12"/>
      <color rgb="FF0A2540"/>
      <name val="Segoe UI"/>
    </font>
    <font>
      <b/>
      <sz val="11"/>
      <color rgb="FFFFFFFF"/>
      <name val="Segoe UI"/>
    </font>
    <font>
      <sz val="10"/>
      <color rgb="FF333333"/>
      <name val="Segoe UI"/>
    </font>
    <font>
      <sz val="10"/>
      <color theme="1"/>
      <name val="Segoe UI"/>
      <family val="2"/>
    </font>
    <font>
      <sz val="10"/>
      <color rgb="FF333333"/>
      <name val="Segoe UI"/>
      <family val="2"/>
    </font>
    <font>
      <u/>
      <sz val="11"/>
      <color theme="1"/>
      <name val="Calibri"/>
      <family val="2"/>
      <scheme val="minor"/>
    </font>
    <font>
      <b/>
      <sz val="10"/>
      <color rgb="FF333333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4F6F9"/>
        <bgColor rgb="FFF4F6F9"/>
      </patternFill>
    </fill>
    <fill>
      <patternFill patternType="solid">
        <fgColor rgb="FF0A2540"/>
        <bgColor rgb="FF0A2540"/>
      </patternFill>
    </fill>
    <fill>
      <patternFill patternType="solid">
        <fgColor rgb="FF20639B"/>
        <bgColor rgb="FF20639B"/>
      </patternFill>
    </fill>
    <fill>
      <patternFill patternType="solid">
        <fgColor rgb="FFFFFFFF"/>
        <bgColor rgb="FFFFFFFF"/>
      </patternFill>
    </fill>
    <fill>
      <patternFill patternType="solid">
        <fgColor rgb="FFF9FAFB"/>
        <bgColor rgb="FFF9FAFB"/>
      </patternFill>
    </fill>
    <fill>
      <patternFill patternType="solid">
        <fgColor rgb="FFF2F2F2"/>
        <bgColor rgb="FFF2F2F2"/>
      </patternFill>
    </fill>
    <fill>
      <patternFill patternType="solid">
        <fgColor rgb="FFDDEBF7"/>
        <bgColor rgb="FFDDEBF7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medium">
        <color rgb="FF20639B"/>
      </left>
      <right style="thin">
        <color rgb="FFD1D5DB"/>
      </right>
      <top style="thin">
        <color rgb="FFD1D5DB"/>
      </top>
      <bottom/>
      <diagonal/>
    </border>
    <border>
      <left/>
      <right/>
      <top style="thin">
        <color rgb="FFD1D5DB"/>
      </top>
      <bottom/>
      <diagonal/>
    </border>
    <border>
      <left/>
      <right style="thin">
        <color rgb="FFD1D5DB"/>
      </right>
      <top style="thin">
        <color rgb="FFD1D5DB"/>
      </top>
      <bottom/>
      <diagonal/>
    </border>
    <border>
      <left style="medium">
        <color rgb="FF20639B"/>
      </left>
      <right style="thin">
        <color rgb="FFD1D5DB"/>
      </right>
      <top/>
      <bottom style="thin">
        <color rgb="FFD1D5DB"/>
      </bottom>
      <diagonal/>
    </border>
    <border>
      <left/>
      <right style="thin">
        <color rgb="FFD1D5DB"/>
      </right>
      <top/>
      <bottom/>
      <diagonal/>
    </border>
    <border>
      <left style="medium">
        <color rgb="FF20639B"/>
      </left>
      <right/>
      <top/>
      <bottom style="thin">
        <color rgb="FFD1D5DB"/>
      </bottom>
      <diagonal/>
    </border>
    <border>
      <left/>
      <right/>
      <top/>
      <bottom style="thin">
        <color rgb="FFD1D5DB"/>
      </bottom>
      <diagonal/>
    </border>
    <border>
      <left/>
      <right style="thin">
        <color rgb="FFD1D5DB"/>
      </right>
      <top/>
      <bottom style="thin">
        <color rgb="FFD1D5DB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0" fillId="2" borderId="0" xfId="0" applyFill="1"/>
    <xf numFmtId="0" fontId="2" fillId="2" borderId="0" xfId="0" applyFont="1" applyFill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7" fillId="2" borderId="0" xfId="0" applyFont="1" applyFill="1"/>
    <xf numFmtId="0" fontId="8" fillId="3" borderId="10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left" vertical="center" wrapText="1"/>
    </xf>
    <xf numFmtId="0" fontId="9" fillId="5" borderId="10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9" fillId="5" borderId="10" xfId="0" applyFont="1" applyFill="1" applyBorder="1" applyAlignment="1">
      <alignment horizontal="left" vertical="center" wrapText="1"/>
    </xf>
    <xf numFmtId="164" fontId="2" fillId="5" borderId="10" xfId="0" applyNumberFormat="1" applyFont="1" applyFill="1" applyBorder="1" applyAlignment="1">
      <alignment horizontal="center" vertical="center" wrapText="1"/>
    </xf>
    <xf numFmtId="0" fontId="9" fillId="6" borderId="10" xfId="0" applyFont="1" applyFill="1" applyBorder="1" applyAlignment="1">
      <alignment horizontal="left" vertical="center" wrapText="1"/>
    </xf>
    <xf numFmtId="0" fontId="9" fillId="6" borderId="10" xfId="0" applyFont="1" applyFill="1" applyBorder="1" applyAlignment="1">
      <alignment horizontal="center" vertical="center" wrapText="1"/>
    </xf>
    <xf numFmtId="164" fontId="2" fillId="6" borderId="10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left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left" vertical="center" wrapText="1"/>
    </xf>
    <xf numFmtId="0" fontId="2" fillId="9" borderId="1" xfId="0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center" vertical="center" wrapText="1"/>
    </xf>
    <xf numFmtId="164" fontId="2" fillId="6" borderId="1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0" fillId="3" borderId="0" xfId="0" applyFill="1"/>
    <xf numFmtId="0" fontId="5" fillId="5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164" fontId="6" fillId="5" borderId="5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3" fontId="6" fillId="5" borderId="5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14" fontId="0" fillId="6" borderId="1" xfId="0" applyNumberForma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12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164" fontId="13" fillId="6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170" fontId="10" fillId="6" borderId="1" xfId="0" applyNumberFormat="1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164" fontId="13" fillId="10" borderId="1" xfId="0" applyNumberFormat="1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 wrapText="1"/>
    </xf>
    <xf numFmtId="170" fontId="10" fillId="10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Progresso do Edital Geral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Dados_Dashboard!$B$3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prstDash val="solid"/>
            </a:ln>
          </c:spPr>
          <c:cat>
            <c:strRef>
              <c:f>Dados_Dashboard!$A$4:$A$5</c:f>
              <c:strCache>
                <c:ptCount val="2"/>
                <c:pt idx="0">
                  <c:v>Estudado</c:v>
                </c:pt>
                <c:pt idx="1">
                  <c:v>Pendente</c:v>
                </c:pt>
              </c:strCache>
            </c:strRef>
          </c:cat>
          <c:val>
            <c:numRef>
              <c:f>Dados_Dashboard!$B$4:$B$5</c:f>
              <c:numCache>
                <c:formatCode>General</c:formatCode>
                <c:ptCount val="2"/>
                <c:pt idx="0">
                  <c:v>1</c:v>
                </c:pt>
                <c:pt idx="1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C9-46C0-B8B0-926F6B770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Progresso em Língua Portuguesa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Dados_Dashboard!$B$8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prstDash val="solid"/>
            </a:ln>
          </c:spPr>
          <c:cat>
            <c:strRef>
              <c:f>Dados_Dashboard!$A$9:$A$10</c:f>
              <c:strCache>
                <c:ptCount val="2"/>
                <c:pt idx="0">
                  <c:v>Estudado</c:v>
                </c:pt>
                <c:pt idx="1">
                  <c:v>Pendente</c:v>
                </c:pt>
              </c:strCache>
            </c:strRef>
          </c:cat>
          <c:val>
            <c:numRef>
              <c:f>Dados_Dashboard!$B$9:$B$10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B42-B37D-92C2515D9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pt-BR"/>
              <a:t>Aproveitamento de Questões (Acertos vs Erros)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Dados_Dashboard!$B$13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prstDash val="solid"/>
            </a:ln>
          </c:spPr>
          <c:cat>
            <c:strRef>
              <c:f>Dados_Dashboard!$A$14:$A$15</c:f>
              <c:strCache>
                <c:ptCount val="2"/>
                <c:pt idx="0">
                  <c:v>Acertos</c:v>
                </c:pt>
                <c:pt idx="1">
                  <c:v>Erros</c:v>
                </c:pt>
              </c:strCache>
            </c:strRef>
          </c:cat>
          <c:val>
            <c:numRef>
              <c:f>Dados_Dashboard!$B$14:$B$15</c:f>
              <c:numCache>
                <c:formatCode>General</c:formatCode>
                <c:ptCount val="2"/>
                <c:pt idx="0">
                  <c:v>140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7B-4EC4-87D2-3B5F0D14F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10</xdr:row>
      <xdr:rowOff>0</xdr:rowOff>
    </xdr:from>
    <xdr:ext cx="414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10</xdr:row>
      <xdr:rowOff>0</xdr:rowOff>
    </xdr:from>
    <xdr:ext cx="414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6</xdr:col>
      <xdr:colOff>781050</xdr:colOff>
      <xdr:row>23</xdr:row>
      <xdr:rowOff>104775</xdr:rowOff>
    </xdr:from>
    <xdr:ext cx="414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>
    <xdr:from>
      <xdr:col>2</xdr:col>
      <xdr:colOff>1644650</xdr:colOff>
      <xdr:row>4</xdr:row>
      <xdr:rowOff>101600</xdr:rowOff>
    </xdr:from>
    <xdr:to>
      <xdr:col>4</xdr:col>
      <xdr:colOff>168275</xdr:colOff>
      <xdr:row>4</xdr:row>
      <xdr:rowOff>406400</xdr:rowOff>
    </xdr:to>
    <xdr:sp macro="AbrirFormEstud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CE13099-CD12-40DD-8C8C-B85DD016069D}"/>
            </a:ext>
          </a:extLst>
        </xdr:cNvPr>
        <xdr:cNvSpPr/>
      </xdr:nvSpPr>
      <xdr:spPr>
        <a:xfrm>
          <a:off x="4445000" y="863600"/>
          <a:ext cx="1524000" cy="304800"/>
        </a:xfrm>
        <a:prstGeom prst="roundRect">
          <a:avLst/>
        </a:prstGeom>
        <a:solidFill>
          <a:srgbClr val="0A254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Registrar Estudo</a:t>
          </a:r>
        </a:p>
      </xdr:txBody>
    </xdr:sp>
    <xdr:clientData/>
  </xdr:twoCellAnchor>
  <xdr:twoCellAnchor>
    <xdr:from>
      <xdr:col>4</xdr:col>
      <xdr:colOff>295275</xdr:colOff>
      <xdr:row>4</xdr:row>
      <xdr:rowOff>101600</xdr:rowOff>
    </xdr:from>
    <xdr:to>
      <xdr:col>5</xdr:col>
      <xdr:colOff>612775</xdr:colOff>
      <xdr:row>4</xdr:row>
      <xdr:rowOff>406400</xdr:rowOff>
    </xdr:to>
    <xdr:sp macro="AbrirFormTaf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4C17E16-F0CD-42DF-A386-76F7B510854C}"/>
            </a:ext>
          </a:extLst>
        </xdr:cNvPr>
        <xdr:cNvSpPr/>
      </xdr:nvSpPr>
      <xdr:spPr>
        <a:xfrm>
          <a:off x="6096000" y="863600"/>
          <a:ext cx="1651000" cy="304800"/>
        </a:xfrm>
        <a:prstGeom prst="roundRect">
          <a:avLst/>
        </a:prstGeom>
        <a:solidFill>
          <a:srgbClr val="20639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Registrar Treino TAF</a:t>
          </a:r>
        </a:p>
      </xdr:txBody>
    </xdr:sp>
    <xdr:clientData/>
  </xdr:twoCellAnchor>
  <xdr:twoCellAnchor>
    <xdr:from>
      <xdr:col>5</xdr:col>
      <xdr:colOff>739775</xdr:colOff>
      <xdr:row>4</xdr:row>
      <xdr:rowOff>101600</xdr:rowOff>
    </xdr:from>
    <xdr:to>
      <xdr:col>6</xdr:col>
      <xdr:colOff>663575</xdr:colOff>
      <xdr:row>4</xdr:row>
      <xdr:rowOff>406400</xdr:rowOff>
    </xdr:to>
    <xdr:sp macro="IrParaCronogram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7682740-7849-42EE-8FC9-E17A273DEADE}"/>
            </a:ext>
          </a:extLst>
        </xdr:cNvPr>
        <xdr:cNvSpPr/>
      </xdr:nvSpPr>
      <xdr:spPr>
        <a:xfrm>
          <a:off x="7874000" y="863600"/>
          <a:ext cx="1524000" cy="304800"/>
        </a:xfrm>
        <a:prstGeom prst="roundRect">
          <a:avLst/>
        </a:prstGeom>
        <a:solidFill>
          <a:srgbClr val="0D5C7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Ver Cronograma</a:t>
          </a:r>
        </a:p>
      </xdr:txBody>
    </xdr:sp>
    <xdr:clientData/>
  </xdr:twoCellAnchor>
  <xdr:twoCellAnchor>
    <xdr:from>
      <xdr:col>6</xdr:col>
      <xdr:colOff>790575</xdr:colOff>
      <xdr:row>4</xdr:row>
      <xdr:rowOff>101600</xdr:rowOff>
    </xdr:from>
    <xdr:to>
      <xdr:col>9</xdr:col>
      <xdr:colOff>41275</xdr:colOff>
      <xdr:row>4</xdr:row>
      <xdr:rowOff>406400</xdr:rowOff>
    </xdr:to>
    <xdr:sp macro="IrParaChecklist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384DDF3-01CD-4374-A1CF-3063362EA29F}"/>
            </a:ext>
          </a:extLst>
        </xdr:cNvPr>
        <xdr:cNvSpPr/>
      </xdr:nvSpPr>
      <xdr:spPr>
        <a:xfrm>
          <a:off x="9525000" y="863600"/>
          <a:ext cx="1651000" cy="304800"/>
        </a:xfrm>
        <a:prstGeom prst="roundRect">
          <a:avLst/>
        </a:prstGeom>
        <a:solidFill>
          <a:srgbClr val="4A777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Ver Checklist Edital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2336800</xdr:colOff>
      <xdr:row>0</xdr:row>
      <xdr:rowOff>50800</xdr:rowOff>
    </xdr:from>
    <xdr:to>
      <xdr:col>5</xdr:col>
      <xdr:colOff>654050</xdr:colOff>
      <xdr:row>0</xdr:row>
      <xdr:rowOff>279400</xdr:rowOff>
    </xdr:to>
    <xdr:sp macro="IrParaDashboar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3D0E1-828F-4584-AD52-E6A7FC19D550}"/>
            </a:ext>
          </a:extLst>
        </xdr:cNvPr>
        <xdr:cNvSpPr/>
      </xdr:nvSpPr>
      <xdr:spPr>
        <a:xfrm>
          <a:off x="6604000" y="50800"/>
          <a:ext cx="1651000" cy="228600"/>
        </a:xfrm>
        <a:prstGeom prst="roundRect">
          <a:avLst/>
        </a:prstGeom>
        <a:solidFill>
          <a:srgbClr val="1B365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&lt;- Voltar ao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4937125</xdr:colOff>
      <xdr:row>0</xdr:row>
      <xdr:rowOff>50800</xdr:rowOff>
    </xdr:from>
    <xdr:to>
      <xdr:col>3</xdr:col>
      <xdr:colOff>587375</xdr:colOff>
      <xdr:row>0</xdr:row>
      <xdr:rowOff>279400</xdr:rowOff>
    </xdr:to>
    <xdr:sp macro="IrParaDashboar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5B4FA1A-5D24-43A5-AA06-9955BD5FAEDC}"/>
            </a:ext>
          </a:extLst>
        </xdr:cNvPr>
        <xdr:cNvSpPr/>
      </xdr:nvSpPr>
      <xdr:spPr>
        <a:xfrm>
          <a:off x="6604000" y="50800"/>
          <a:ext cx="1651000" cy="228600"/>
        </a:xfrm>
        <a:prstGeom prst="roundRect">
          <a:avLst/>
        </a:prstGeom>
        <a:solidFill>
          <a:srgbClr val="1B365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&lt;- Voltar ao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4137025</xdr:colOff>
      <xdr:row>0</xdr:row>
      <xdr:rowOff>50800</xdr:rowOff>
    </xdr:from>
    <xdr:to>
      <xdr:col>4</xdr:col>
      <xdr:colOff>454025</xdr:colOff>
      <xdr:row>0</xdr:row>
      <xdr:rowOff>279400</xdr:rowOff>
    </xdr:to>
    <xdr:sp macro="IrParaDashboar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1A05038-71C8-4267-B53F-5BE970E0DC8E}"/>
            </a:ext>
          </a:extLst>
        </xdr:cNvPr>
        <xdr:cNvSpPr/>
      </xdr:nvSpPr>
      <xdr:spPr>
        <a:xfrm>
          <a:off x="6604000" y="50800"/>
          <a:ext cx="1651000" cy="228600"/>
        </a:xfrm>
        <a:prstGeom prst="roundRect">
          <a:avLst/>
        </a:prstGeom>
        <a:solidFill>
          <a:srgbClr val="1B365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&lt;- Voltar ao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603250</xdr:colOff>
      <xdr:row>0</xdr:row>
      <xdr:rowOff>50800</xdr:rowOff>
    </xdr:from>
    <xdr:to>
      <xdr:col>5</xdr:col>
      <xdr:colOff>1054100</xdr:colOff>
      <xdr:row>0</xdr:row>
      <xdr:rowOff>279400</xdr:rowOff>
    </xdr:to>
    <xdr:sp macro="IrParaDashboar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AFEEB54-4B50-4040-9EA0-455A020E978A}"/>
            </a:ext>
          </a:extLst>
        </xdr:cNvPr>
        <xdr:cNvSpPr/>
      </xdr:nvSpPr>
      <xdr:spPr>
        <a:xfrm>
          <a:off x="6604000" y="50800"/>
          <a:ext cx="1651000" cy="228600"/>
        </a:xfrm>
        <a:prstGeom prst="roundRect">
          <a:avLst/>
        </a:prstGeom>
        <a:solidFill>
          <a:srgbClr val="1B365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rgbClr val="FFFFFF"/>
              </a:solidFill>
              <a:latin typeface="Segoe UI" panose="020B0502040204020203" pitchFamily="34" charset="0"/>
            </a:rPr>
            <a:t>&lt;- Voltar ao 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16"/>
  <sheetViews>
    <sheetView workbookViewId="0"/>
  </sheetViews>
  <sheetFormatPr defaultRowHeight="15" x14ac:dyDescent="0.25"/>
  <cols>
    <col min="1" max="1" width="52" customWidth="1"/>
    <col min="2" max="2" width="14" customWidth="1"/>
  </cols>
  <sheetData>
    <row r="1" spans="1:2" ht="16.5" x14ac:dyDescent="0.3">
      <c r="A1" s="1" t="s">
        <v>0</v>
      </c>
      <c r="B1" s="2"/>
    </row>
    <row r="2" spans="1:2" x14ac:dyDescent="0.25">
      <c r="A2" s="2"/>
      <c r="B2" s="2"/>
    </row>
    <row r="3" spans="1:2" x14ac:dyDescent="0.25">
      <c r="A3" s="3" t="s">
        <v>1</v>
      </c>
      <c r="B3" s="3" t="s">
        <v>2</v>
      </c>
    </row>
    <row r="4" spans="1:2" x14ac:dyDescent="0.25">
      <c r="A4" s="2" t="s">
        <v>3</v>
      </c>
      <c r="B4" s="2">
        <f>COUNTIF('Controle do Edital'!C:C, "Sim")</f>
        <v>1</v>
      </c>
    </row>
    <row r="5" spans="1:2" x14ac:dyDescent="0.25">
      <c r="A5" s="2" t="s">
        <v>4</v>
      </c>
      <c r="B5" s="2">
        <f>COUNTIF('Controle do Edital'!C:C, "Não")</f>
        <v>86</v>
      </c>
    </row>
    <row r="6" spans="1:2" x14ac:dyDescent="0.25">
      <c r="A6" s="2"/>
      <c r="B6" s="2"/>
    </row>
    <row r="7" spans="1:2" x14ac:dyDescent="0.25">
      <c r="A7" s="2"/>
      <c r="B7" s="2"/>
    </row>
    <row r="8" spans="1:2" x14ac:dyDescent="0.25">
      <c r="A8" s="3" t="s">
        <v>5</v>
      </c>
      <c r="B8" s="3" t="s">
        <v>2</v>
      </c>
    </row>
    <row r="9" spans="1:2" x14ac:dyDescent="0.25">
      <c r="A9" s="2" t="s">
        <v>3</v>
      </c>
      <c r="B9" s="2">
        <f>COUNTIFS('Controle do Edital'!A:A, "Língua Portuguesa", 'Controle do Edital'!C:C, "Sim")</f>
        <v>0</v>
      </c>
    </row>
    <row r="10" spans="1:2" x14ac:dyDescent="0.25">
      <c r="A10" s="2" t="s">
        <v>4</v>
      </c>
      <c r="B10" s="2">
        <f>COUNTIFS('Controle do Edital'!A:A, "Língua Portuguesa", 'Controle do Edital'!C:C, "Não")</f>
        <v>20</v>
      </c>
    </row>
    <row r="11" spans="1:2" x14ac:dyDescent="0.25">
      <c r="A11" s="2"/>
      <c r="B11" s="2"/>
    </row>
    <row r="12" spans="1:2" x14ac:dyDescent="0.25">
      <c r="A12" s="2"/>
      <c r="B12" s="2"/>
    </row>
    <row r="13" spans="1:2" x14ac:dyDescent="0.25">
      <c r="A13" s="3" t="s">
        <v>6</v>
      </c>
      <c r="B13" s="3" t="s">
        <v>2</v>
      </c>
    </row>
    <row r="14" spans="1:2" x14ac:dyDescent="0.25">
      <c r="A14" s="2" t="s">
        <v>7</v>
      </c>
      <c r="B14" s="2">
        <f>SUM('Registro de Estudos'!G:G)</f>
        <v>140</v>
      </c>
    </row>
    <row r="15" spans="1:2" x14ac:dyDescent="0.25">
      <c r="A15" s="2" t="s">
        <v>8</v>
      </c>
      <c r="B15" s="2">
        <f>SUM('Registro de Estudos'!F:F)-SUM('Registro de Estudos'!G:G)</f>
        <v>10</v>
      </c>
    </row>
    <row r="16" spans="1:2" x14ac:dyDescent="0.25">
      <c r="A16" s="2"/>
      <c r="B16" s="2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S44"/>
  <sheetViews>
    <sheetView showGridLines="0" zoomScale="70" zoomScaleNormal="70" workbookViewId="0">
      <selection activeCell="F15" sqref="F15"/>
    </sheetView>
  </sheetViews>
  <sheetFormatPr defaultRowHeight="15" x14ac:dyDescent="0.25"/>
  <cols>
    <col min="1" max="1" width="12" customWidth="1"/>
    <col min="2" max="2" width="30" customWidth="1"/>
    <col min="3" max="3" width="25" customWidth="1"/>
    <col min="4" max="5" width="20" customWidth="1"/>
    <col min="6" max="6" width="24" customWidth="1"/>
    <col min="7" max="9" width="12" customWidth="1"/>
    <col min="10" max="10" width="23" customWidth="1"/>
    <col min="11" max="13" width="12" customWidth="1"/>
    <col min="14" max="14" width="26" customWidth="1"/>
    <col min="15" max="19" width="12" customWidth="1"/>
  </cols>
  <sheetData>
    <row r="1" spans="1:19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x14ac:dyDescent="0.25">
      <c r="A2" s="4"/>
      <c r="B2" s="37" t="s">
        <v>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4"/>
      <c r="S2" s="4"/>
    </row>
    <row r="3" spans="1:19" x14ac:dyDescent="0.25">
      <c r="A3" s="4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4"/>
      <c r="S3" s="4"/>
    </row>
    <row r="4" spans="1:19" x14ac:dyDescent="0.25">
      <c r="A4" s="4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4"/>
      <c r="S4" s="4"/>
    </row>
    <row r="5" spans="1:19" ht="35.1" customHeight="1" x14ac:dyDescent="0.25">
      <c r="A5" s="4"/>
      <c r="B5" s="5" t="s">
        <v>10</v>
      </c>
      <c r="C5" s="4"/>
      <c r="D5" s="4"/>
      <c r="E5" s="6" t="s">
        <v>11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9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x14ac:dyDescent="0.25">
      <c r="A7" s="4"/>
      <c r="B7" s="39" t="s">
        <v>12</v>
      </c>
      <c r="C7" s="40"/>
      <c r="D7" s="41"/>
      <c r="E7" s="4"/>
      <c r="F7" s="39" t="s">
        <v>13</v>
      </c>
      <c r="G7" s="40"/>
      <c r="H7" s="41"/>
      <c r="I7" s="4"/>
      <c r="J7" s="39" t="s">
        <v>14</v>
      </c>
      <c r="K7" s="40"/>
      <c r="L7" s="41"/>
      <c r="M7" s="4"/>
      <c r="N7" s="39" t="s">
        <v>15</v>
      </c>
      <c r="O7" s="40"/>
      <c r="P7" s="41"/>
      <c r="Q7" s="4"/>
      <c r="R7" s="4"/>
      <c r="S7" s="4"/>
    </row>
    <row r="8" spans="1:19" x14ac:dyDescent="0.25">
      <c r="A8" s="4"/>
      <c r="B8" s="48">
        <f>SUM('Registro de Estudos'!F:F)</f>
        <v>150</v>
      </c>
      <c r="C8" s="43"/>
      <c r="D8" s="44"/>
      <c r="E8" s="4"/>
      <c r="F8" s="42">
        <f>IF(SUM('Registro de Estudos'!F:F)&gt;0, SUM('Registro de Estudos'!G:G)/SUM('Registro de Estudos'!F:F), 0)</f>
        <v>0.93333333333333335</v>
      </c>
      <c r="G8" s="43"/>
      <c r="H8" s="44"/>
      <c r="I8" s="4"/>
      <c r="J8" s="42">
        <f>COUNTIF('Controle do Edital'!C:C, "Sim")/COUNTA('Controle do Edital'!B:B)</f>
        <v>1.1363636363636364E-2</v>
      </c>
      <c r="K8" s="43"/>
      <c r="L8" s="44"/>
      <c r="M8" s="4"/>
      <c r="N8" s="48">
        <f>COUNTA('Treino do TAF'!A:A)-1</f>
        <v>3</v>
      </c>
      <c r="O8" s="43"/>
      <c r="P8" s="44"/>
      <c r="Q8" s="4"/>
      <c r="R8" s="4"/>
      <c r="S8" s="4"/>
    </row>
    <row r="9" spans="1:19" x14ac:dyDescent="0.25">
      <c r="A9" s="4"/>
      <c r="B9" s="45"/>
      <c r="C9" s="46"/>
      <c r="D9" s="47"/>
      <c r="E9" s="4"/>
      <c r="F9" s="45"/>
      <c r="G9" s="46"/>
      <c r="H9" s="47"/>
      <c r="I9" s="4"/>
      <c r="J9" s="45"/>
      <c r="K9" s="46"/>
      <c r="L9" s="47"/>
      <c r="M9" s="4"/>
      <c r="N9" s="45"/>
      <c r="O9" s="46"/>
      <c r="P9" s="47"/>
      <c r="Q9" s="4"/>
      <c r="R9" s="4"/>
      <c r="S9" s="4"/>
    </row>
    <row r="10" spans="1:19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ht="17.25" x14ac:dyDescent="0.3">
      <c r="A11" s="4"/>
      <c r="B11" s="7" t="s">
        <v>16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ht="16.5" x14ac:dyDescent="0.25">
      <c r="A12" s="4"/>
      <c r="B12" s="8" t="s">
        <v>17</v>
      </c>
      <c r="C12" s="8" t="s">
        <v>18</v>
      </c>
      <c r="D12" s="8" t="s">
        <v>19</v>
      </c>
      <c r="E12" s="8" t="s">
        <v>20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19" x14ac:dyDescent="0.25">
      <c r="A13" s="4"/>
      <c r="B13" s="9" t="s">
        <v>21</v>
      </c>
      <c r="C13" s="10" t="str">
        <f>IF($E$5="Masculino", "4 repetições (Dinâmico)", "15 segundos (Estático)")</f>
        <v>4 repetições (Dinâmico)</v>
      </c>
      <c r="D13" s="10" t="e">
        <f ca="1">_xludf.MAXIFS('Treino do TAF'!C:C, 'Treino do TAF'!B:B, "Barra Fixa")</f>
        <v>#NAME?</v>
      </c>
      <c r="E13" s="11" t="e">
        <f ca="1">IF($E$5="Masculino", IF(D13&gt;=4, "APTO", "INAPTO"), IF(D13&gt;=15, "APTO", "INAPTO"))</f>
        <v>#NAME?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x14ac:dyDescent="0.25">
      <c r="A14" s="4"/>
      <c r="B14" s="9" t="s">
        <v>22</v>
      </c>
      <c r="C14" s="10" t="str">
        <f>IF($E$5="Masculino", "25 repetições", "20 repetições")</f>
        <v>25 repetições</v>
      </c>
      <c r="D14" s="10" t="e">
        <f ca="1">_xludf.MAXIFS('Treino do TAF'!C:C, 'Treino do TAF'!B:B, "Meio Sugado")</f>
        <v>#NAME?</v>
      </c>
      <c r="E14" s="11" t="e">
        <f ca="1">IF($E$5="Masculino", IF(D14&gt;=25, "APTO", "INAPTO"), IF(D14&gt;=20, "APTO", "INAPTO"))</f>
        <v>#NAME?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x14ac:dyDescent="0.25">
      <c r="A15" s="4"/>
      <c r="B15" s="9" t="s">
        <v>23</v>
      </c>
      <c r="C15" s="10" t="str">
        <f>IF($E$5="Masculino", "35 repetições", "25 repetições")</f>
        <v>35 repetições</v>
      </c>
      <c r="D15" s="10" t="e">
        <f ca="1">_xludf.MAXIFS('Treino do TAF'!C:C, 'Treino do TAF'!B:B, "Abdominal Remador")</f>
        <v>#NAME?</v>
      </c>
      <c r="E15" s="11" t="e">
        <f ca="1">IF($E$5="Masculino", IF(D15&gt;=35, "APTO", "INAPTO"), IF(D15&gt;=25, "APTO", "INAPTO"))</f>
        <v>#NAME?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19" x14ac:dyDescent="0.25">
      <c r="A16" s="4"/>
      <c r="B16" s="9" t="s">
        <v>24</v>
      </c>
      <c r="C16" s="10" t="str">
        <f>IF($E$5="Masculino", "2.200 metros", "1.900 metros")</f>
        <v>2.200 metros</v>
      </c>
      <c r="D16" s="10" t="e">
        <f ca="1">_xludf.MAXIFS('Treino do TAF'!C:C, 'Treino do TAF'!B:B, "Corrida 12 min")</f>
        <v>#NAME?</v>
      </c>
      <c r="E16" s="11" t="e">
        <f ca="1">IF($E$5="Masculino", IF(D16&gt;=2200, "APTO", "INAPTO"), IF(D16&gt;=1900, "APTO", "INAPTO"))</f>
        <v>#NAME?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19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1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ht="17.25" x14ac:dyDescent="0.3">
      <c r="A19" s="4"/>
      <c r="B19" s="7" t="s">
        <v>25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ht="33" x14ac:dyDescent="0.25">
      <c r="A20" s="4"/>
      <c r="B20" s="12" t="s">
        <v>26</v>
      </c>
      <c r="C20" s="12" t="s">
        <v>27</v>
      </c>
      <c r="D20" s="12" t="s">
        <v>7</v>
      </c>
      <c r="E20" s="12" t="s">
        <v>28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 x14ac:dyDescent="0.25">
      <c r="A21" s="4"/>
      <c r="B21" s="13" t="s">
        <v>29</v>
      </c>
      <c r="C21" s="10">
        <f>SUMIFS('Registro de Estudos'!F:F, 'Registro de Estudos'!B:B, B21)</f>
        <v>20</v>
      </c>
      <c r="D21" s="10">
        <f>SUMIFS('Registro de Estudos'!G:G, 'Registro de Estudos'!B:B, B21)</f>
        <v>18</v>
      </c>
      <c r="E21" s="14">
        <f t="shared" ref="E21:E28" si="0">IF(C21&gt;0, D21/C21, 0)</f>
        <v>0.9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1:19" x14ac:dyDescent="0.25">
      <c r="A22" s="4"/>
      <c r="B22" s="15" t="s">
        <v>30</v>
      </c>
      <c r="C22" s="16">
        <f>SUMIFS('Registro de Estudos'!F:F, 'Registro de Estudos'!B:B, B22)</f>
        <v>20</v>
      </c>
      <c r="D22" s="16">
        <f>SUMIFS('Registro de Estudos'!G:G, 'Registro de Estudos'!B:B, B22)</f>
        <v>20</v>
      </c>
      <c r="E22" s="17">
        <f t="shared" si="0"/>
        <v>1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spans="1:19" x14ac:dyDescent="0.25">
      <c r="A23" s="4"/>
      <c r="B23" s="13" t="s">
        <v>31</v>
      </c>
      <c r="C23" s="10">
        <f>SUMIFS('Registro de Estudos'!F:F, 'Registro de Estudos'!B:B, B23)</f>
        <v>0</v>
      </c>
      <c r="D23" s="10">
        <f>SUMIFS('Registro de Estudos'!G:G, 'Registro de Estudos'!B:B, B23)</f>
        <v>0</v>
      </c>
      <c r="E23" s="14">
        <f t="shared" si="0"/>
        <v>0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1:19" x14ac:dyDescent="0.25">
      <c r="A24" s="4"/>
      <c r="B24" s="15" t="s">
        <v>32</v>
      </c>
      <c r="C24" s="16">
        <f>SUMIFS('Registro de Estudos'!F:F, 'Registro de Estudos'!B:B, B24)</f>
        <v>35</v>
      </c>
      <c r="D24" s="16">
        <f>SUMIFS('Registro de Estudos'!G:G, 'Registro de Estudos'!B:B, B24)</f>
        <v>35</v>
      </c>
      <c r="E24" s="17">
        <f t="shared" si="0"/>
        <v>1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25">
      <c r="A25" s="4"/>
      <c r="B25" s="13" t="s">
        <v>33</v>
      </c>
      <c r="C25" s="10">
        <f>SUMIFS('Registro de Estudos'!F:F, 'Registro de Estudos'!B:B, B25)</f>
        <v>20</v>
      </c>
      <c r="D25" s="10">
        <f>SUMIFS('Registro de Estudos'!G:G, 'Registro de Estudos'!B:B, B25)</f>
        <v>20</v>
      </c>
      <c r="E25" s="14">
        <f t="shared" si="0"/>
        <v>1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25">
      <c r="A26" s="4"/>
      <c r="B26" s="15" t="s">
        <v>34</v>
      </c>
      <c r="C26" s="16">
        <f>SUMIFS('Registro de Estudos'!F:F, 'Registro de Estudos'!B:B, B26)</f>
        <v>40</v>
      </c>
      <c r="D26" s="16">
        <f>SUMIFS('Registro de Estudos'!G:G, 'Registro de Estudos'!B:B, B26)</f>
        <v>34</v>
      </c>
      <c r="E26" s="17">
        <f t="shared" si="0"/>
        <v>0.85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25">
      <c r="A27" s="4"/>
      <c r="B27" s="13" t="s">
        <v>35</v>
      </c>
      <c r="C27" s="10">
        <f>SUMIFS('Registro de Estudos'!F:F, 'Registro de Estudos'!B:B, B27)</f>
        <v>0</v>
      </c>
      <c r="D27" s="10">
        <f>SUMIFS('Registro de Estudos'!G:G, 'Registro de Estudos'!B:B, B27)</f>
        <v>0</v>
      </c>
      <c r="E27" s="14">
        <f t="shared" si="0"/>
        <v>0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25">
      <c r="A28" s="4"/>
      <c r="B28" s="15" t="s">
        <v>36</v>
      </c>
      <c r="C28" s="16">
        <f>SUMIFS('Registro de Estudos'!F:F, 'Registro de Estudos'!B:B, B28)</f>
        <v>15</v>
      </c>
      <c r="D28" s="16">
        <f>SUMIFS('Registro de Estudos'!G:G, 'Registro de Estudos'!B:B, B28)</f>
        <v>13</v>
      </c>
      <c r="E28" s="17">
        <f t="shared" si="0"/>
        <v>0.8666666666666667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1:1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1:19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1:19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</row>
    <row r="35" spans="1:19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</row>
    <row r="36" spans="1:19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</row>
    <row r="37" spans="1:19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</row>
    <row r="40" spans="1:19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spans="1:19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1:19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spans="1:19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</row>
  </sheetData>
  <mergeCells count="9">
    <mergeCell ref="B2:Q4"/>
    <mergeCell ref="J7:L7"/>
    <mergeCell ref="N7:P7"/>
    <mergeCell ref="F8:H9"/>
    <mergeCell ref="J8:L9"/>
    <mergeCell ref="F7:H7"/>
    <mergeCell ref="N8:P9"/>
    <mergeCell ref="B7:D7"/>
    <mergeCell ref="B8:D9"/>
  </mergeCells>
  <dataValidations count="1">
    <dataValidation type="list" sqref="E5" xr:uid="{00000000-0002-0000-0100-000000000000}">
      <formula1>"Masculino,Feminino"</formula1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J90"/>
  <sheetViews>
    <sheetView tabSelected="1" topLeftCell="B1" workbookViewId="0">
      <selection activeCell="G3" sqref="G3"/>
    </sheetView>
  </sheetViews>
  <sheetFormatPr defaultRowHeight="15" x14ac:dyDescent="0.25"/>
  <cols>
    <col min="1" max="1" width="12" customWidth="1"/>
    <col min="2" max="2" width="15" customWidth="1"/>
    <col min="3" max="3" width="12" customWidth="1"/>
    <col min="4" max="4" width="25" customWidth="1"/>
    <col min="5" max="5" width="50" customWidth="1"/>
    <col min="6" max="6" width="25" customWidth="1"/>
    <col min="7" max="7" width="50" customWidth="1"/>
    <col min="8" max="8" width="45" customWidth="1"/>
    <col min="9" max="9" width="20" customWidth="1"/>
    <col min="10" max="10" width="15" customWidth="1"/>
  </cols>
  <sheetData>
    <row r="1" spans="1:10" ht="33" x14ac:dyDescent="0.25">
      <c r="A1" s="18" t="s">
        <v>37</v>
      </c>
      <c r="B1" s="18" t="s">
        <v>38</v>
      </c>
      <c r="C1" s="18" t="s">
        <v>39</v>
      </c>
      <c r="D1" s="18" t="s">
        <v>40</v>
      </c>
      <c r="E1" s="18" t="s">
        <v>41</v>
      </c>
      <c r="F1" s="18" t="s">
        <v>42</v>
      </c>
      <c r="G1" s="18" t="s">
        <v>43</v>
      </c>
      <c r="H1" s="18" t="s">
        <v>44</v>
      </c>
      <c r="I1" s="18" t="s">
        <v>45</v>
      </c>
      <c r="J1" s="18" t="s">
        <v>46</v>
      </c>
    </row>
    <row r="2" spans="1:10" ht="28.5" x14ac:dyDescent="0.25">
      <c r="A2" s="19" t="s">
        <v>47</v>
      </c>
      <c r="B2" s="19" t="s">
        <v>48</v>
      </c>
      <c r="C2" s="19" t="s">
        <v>49</v>
      </c>
      <c r="D2" s="20" t="s">
        <v>34</v>
      </c>
      <c r="E2" s="20" t="s">
        <v>50</v>
      </c>
      <c r="F2" s="20" t="s">
        <v>32</v>
      </c>
      <c r="G2" s="20" t="s">
        <v>51</v>
      </c>
      <c r="H2" s="20" t="s">
        <v>52</v>
      </c>
      <c r="I2" s="19" t="s">
        <v>53</v>
      </c>
      <c r="J2" s="21" t="s">
        <v>285</v>
      </c>
    </row>
    <row r="3" spans="1:10" ht="28.5" x14ac:dyDescent="0.25">
      <c r="A3" s="19" t="s">
        <v>55</v>
      </c>
      <c r="B3" s="19" t="s">
        <v>56</v>
      </c>
      <c r="C3" s="19" t="s">
        <v>49</v>
      </c>
      <c r="D3" s="20" t="s">
        <v>30</v>
      </c>
      <c r="E3" s="53" t="s">
        <v>57</v>
      </c>
      <c r="F3" s="20" t="s">
        <v>33</v>
      </c>
      <c r="G3" s="53" t="s">
        <v>58</v>
      </c>
      <c r="H3" s="20" t="s">
        <v>52</v>
      </c>
      <c r="I3" s="19" t="s">
        <v>53</v>
      </c>
      <c r="J3" s="21" t="s">
        <v>285</v>
      </c>
    </row>
    <row r="4" spans="1:10" ht="28.5" x14ac:dyDescent="0.25">
      <c r="A4" s="19" t="s">
        <v>59</v>
      </c>
      <c r="B4" s="19" t="s">
        <v>60</v>
      </c>
      <c r="C4" s="19" t="s">
        <v>49</v>
      </c>
      <c r="D4" s="20" t="s">
        <v>29</v>
      </c>
      <c r="E4" s="20" t="s">
        <v>61</v>
      </c>
      <c r="F4" s="20" t="s">
        <v>36</v>
      </c>
      <c r="G4" s="20" t="s">
        <v>62</v>
      </c>
      <c r="H4" s="20" t="s">
        <v>52</v>
      </c>
      <c r="I4" s="19" t="s">
        <v>53</v>
      </c>
      <c r="J4" s="21" t="s">
        <v>54</v>
      </c>
    </row>
    <row r="5" spans="1:10" ht="28.5" x14ac:dyDescent="0.25">
      <c r="A5" s="19" t="s">
        <v>63</v>
      </c>
      <c r="B5" s="19" t="s">
        <v>64</v>
      </c>
      <c r="C5" s="19" t="s">
        <v>49</v>
      </c>
      <c r="D5" s="20" t="s">
        <v>35</v>
      </c>
      <c r="E5" s="20" t="s">
        <v>65</v>
      </c>
      <c r="F5" s="20" t="s">
        <v>31</v>
      </c>
      <c r="G5" s="20" t="s">
        <v>66</v>
      </c>
      <c r="H5" s="20" t="s">
        <v>52</v>
      </c>
      <c r="I5" s="19" t="s">
        <v>53</v>
      </c>
      <c r="J5" s="21" t="s">
        <v>54</v>
      </c>
    </row>
    <row r="6" spans="1:10" x14ac:dyDescent="0.25">
      <c r="A6" s="22" t="s">
        <v>67</v>
      </c>
      <c r="B6" s="22" t="s">
        <v>68</v>
      </c>
      <c r="C6" s="22" t="s">
        <v>49</v>
      </c>
      <c r="D6" s="23" t="s">
        <v>69</v>
      </c>
      <c r="E6" s="23" t="s">
        <v>70</v>
      </c>
      <c r="F6" s="23" t="s">
        <v>71</v>
      </c>
      <c r="G6" s="23" t="s">
        <v>72</v>
      </c>
      <c r="H6" s="23" t="s">
        <v>73</v>
      </c>
      <c r="I6" s="22" t="s">
        <v>74</v>
      </c>
      <c r="J6" s="24" t="s">
        <v>54</v>
      </c>
    </row>
    <row r="7" spans="1:10" x14ac:dyDescent="0.25">
      <c r="A7" s="25" t="s">
        <v>75</v>
      </c>
      <c r="B7" s="25" t="s">
        <v>76</v>
      </c>
      <c r="C7" s="25" t="s">
        <v>49</v>
      </c>
      <c r="D7" s="26" t="s">
        <v>77</v>
      </c>
      <c r="E7" s="26" t="s">
        <v>78</v>
      </c>
      <c r="F7" s="26" t="s">
        <v>79</v>
      </c>
      <c r="G7" s="26" t="s">
        <v>80</v>
      </c>
      <c r="H7" s="26" t="s">
        <v>81</v>
      </c>
      <c r="I7" s="25" t="s">
        <v>82</v>
      </c>
      <c r="J7" s="27" t="s">
        <v>54</v>
      </c>
    </row>
    <row r="8" spans="1:10" ht="28.5" x14ac:dyDescent="0.25">
      <c r="A8" s="19" t="s">
        <v>83</v>
      </c>
      <c r="B8" s="19" t="s">
        <v>84</v>
      </c>
      <c r="C8" s="19" t="s">
        <v>85</v>
      </c>
      <c r="D8" s="20" t="s">
        <v>29</v>
      </c>
      <c r="E8" s="20" t="s">
        <v>86</v>
      </c>
      <c r="F8" s="20" t="s">
        <v>31</v>
      </c>
      <c r="G8" s="20" t="s">
        <v>87</v>
      </c>
      <c r="H8" s="20" t="s">
        <v>52</v>
      </c>
      <c r="I8" s="19" t="s">
        <v>53</v>
      </c>
      <c r="J8" s="21" t="s">
        <v>54</v>
      </c>
    </row>
    <row r="9" spans="1:10" ht="28.5" x14ac:dyDescent="0.25">
      <c r="A9" s="19" t="s">
        <v>88</v>
      </c>
      <c r="B9" s="19" t="s">
        <v>48</v>
      </c>
      <c r="C9" s="19" t="s">
        <v>85</v>
      </c>
      <c r="D9" s="20" t="s">
        <v>34</v>
      </c>
      <c r="E9" s="20" t="s">
        <v>89</v>
      </c>
      <c r="F9" s="20" t="s">
        <v>32</v>
      </c>
      <c r="G9" s="20" t="s">
        <v>90</v>
      </c>
      <c r="H9" s="20" t="s">
        <v>52</v>
      </c>
      <c r="I9" s="19" t="s">
        <v>53</v>
      </c>
      <c r="J9" s="21" t="s">
        <v>54</v>
      </c>
    </row>
    <row r="10" spans="1:10" ht="28.5" x14ac:dyDescent="0.25">
      <c r="A10" s="19" t="s">
        <v>91</v>
      </c>
      <c r="B10" s="19" t="s">
        <v>56</v>
      </c>
      <c r="C10" s="19" t="s">
        <v>85</v>
      </c>
      <c r="D10" s="20" t="s">
        <v>30</v>
      </c>
      <c r="E10" s="20" t="s">
        <v>92</v>
      </c>
      <c r="F10" s="20" t="s">
        <v>33</v>
      </c>
      <c r="G10" s="20" t="s">
        <v>93</v>
      </c>
      <c r="H10" s="20" t="s">
        <v>52</v>
      </c>
      <c r="I10" s="19" t="s">
        <v>53</v>
      </c>
      <c r="J10" s="21" t="s">
        <v>54</v>
      </c>
    </row>
    <row r="11" spans="1:10" ht="28.5" x14ac:dyDescent="0.25">
      <c r="A11" s="19" t="s">
        <v>94</v>
      </c>
      <c r="B11" s="19" t="s">
        <v>60</v>
      </c>
      <c r="C11" s="19" t="s">
        <v>85</v>
      </c>
      <c r="D11" s="20" t="s">
        <v>29</v>
      </c>
      <c r="E11" s="20" t="s">
        <v>95</v>
      </c>
      <c r="F11" s="20" t="s">
        <v>36</v>
      </c>
      <c r="G11" s="20" t="s">
        <v>96</v>
      </c>
      <c r="H11" s="20" t="s">
        <v>52</v>
      </c>
      <c r="I11" s="19" t="s">
        <v>53</v>
      </c>
      <c r="J11" s="21" t="s">
        <v>54</v>
      </c>
    </row>
    <row r="12" spans="1:10" ht="28.5" x14ac:dyDescent="0.25">
      <c r="A12" s="19" t="s">
        <v>97</v>
      </c>
      <c r="B12" s="19" t="s">
        <v>64</v>
      </c>
      <c r="C12" s="19" t="s">
        <v>85</v>
      </c>
      <c r="D12" s="20" t="s">
        <v>35</v>
      </c>
      <c r="E12" s="20" t="s">
        <v>98</v>
      </c>
      <c r="F12" s="20" t="s">
        <v>33</v>
      </c>
      <c r="G12" s="20" t="s">
        <v>99</v>
      </c>
      <c r="H12" s="20" t="s">
        <v>52</v>
      </c>
      <c r="I12" s="19" t="s">
        <v>53</v>
      </c>
      <c r="J12" s="21" t="s">
        <v>54</v>
      </c>
    </row>
    <row r="13" spans="1:10" x14ac:dyDescent="0.25">
      <c r="A13" s="22" t="s">
        <v>100</v>
      </c>
      <c r="B13" s="22" t="s">
        <v>68</v>
      </c>
      <c r="C13" s="22" t="s">
        <v>85</v>
      </c>
      <c r="D13" s="23" t="s">
        <v>69</v>
      </c>
      <c r="E13" s="23" t="s">
        <v>70</v>
      </c>
      <c r="F13" s="23" t="s">
        <v>71</v>
      </c>
      <c r="G13" s="23" t="s">
        <v>72</v>
      </c>
      <c r="H13" s="23" t="s">
        <v>73</v>
      </c>
      <c r="I13" s="22" t="s">
        <v>74</v>
      </c>
      <c r="J13" s="24" t="s">
        <v>54</v>
      </c>
    </row>
    <row r="14" spans="1:10" x14ac:dyDescent="0.25">
      <c r="A14" s="25" t="s">
        <v>101</v>
      </c>
      <c r="B14" s="25" t="s">
        <v>76</v>
      </c>
      <c r="C14" s="25" t="s">
        <v>85</v>
      </c>
      <c r="D14" s="26" t="s">
        <v>77</v>
      </c>
      <c r="E14" s="26" t="s">
        <v>78</v>
      </c>
      <c r="F14" s="26" t="s">
        <v>79</v>
      </c>
      <c r="G14" s="26" t="s">
        <v>80</v>
      </c>
      <c r="H14" s="26" t="s">
        <v>81</v>
      </c>
      <c r="I14" s="25" t="s">
        <v>82</v>
      </c>
      <c r="J14" s="27" t="s">
        <v>54</v>
      </c>
    </row>
    <row r="15" spans="1:10" ht="28.5" x14ac:dyDescent="0.25">
      <c r="A15" s="19" t="s">
        <v>102</v>
      </c>
      <c r="B15" s="19" t="s">
        <v>84</v>
      </c>
      <c r="C15" s="19" t="s">
        <v>103</v>
      </c>
      <c r="D15" s="20" t="s">
        <v>29</v>
      </c>
      <c r="E15" s="20" t="s">
        <v>104</v>
      </c>
      <c r="F15" s="20" t="s">
        <v>31</v>
      </c>
      <c r="G15" s="20" t="s">
        <v>105</v>
      </c>
      <c r="H15" s="20" t="s">
        <v>52</v>
      </c>
      <c r="I15" s="19" t="s">
        <v>53</v>
      </c>
      <c r="J15" s="21" t="s">
        <v>54</v>
      </c>
    </row>
    <row r="16" spans="1:10" ht="28.5" x14ac:dyDescent="0.25">
      <c r="A16" s="19" t="s">
        <v>106</v>
      </c>
      <c r="B16" s="19" t="s">
        <v>48</v>
      </c>
      <c r="C16" s="19" t="s">
        <v>103</v>
      </c>
      <c r="D16" s="20" t="s">
        <v>34</v>
      </c>
      <c r="E16" s="20" t="s">
        <v>107</v>
      </c>
      <c r="F16" s="20" t="s">
        <v>32</v>
      </c>
      <c r="G16" s="20" t="s">
        <v>108</v>
      </c>
      <c r="H16" s="20" t="s">
        <v>52</v>
      </c>
      <c r="I16" s="19" t="s">
        <v>53</v>
      </c>
      <c r="J16" s="21" t="s">
        <v>54</v>
      </c>
    </row>
    <row r="17" spans="1:10" ht="28.5" x14ac:dyDescent="0.25">
      <c r="A17" s="19" t="s">
        <v>109</v>
      </c>
      <c r="B17" s="19" t="s">
        <v>56</v>
      </c>
      <c r="C17" s="19" t="s">
        <v>103</v>
      </c>
      <c r="D17" s="20" t="s">
        <v>30</v>
      </c>
      <c r="E17" s="20" t="s">
        <v>110</v>
      </c>
      <c r="F17" s="20" t="s">
        <v>33</v>
      </c>
      <c r="G17" s="20" t="s">
        <v>111</v>
      </c>
      <c r="H17" s="20" t="s">
        <v>52</v>
      </c>
      <c r="I17" s="19" t="s">
        <v>53</v>
      </c>
      <c r="J17" s="21" t="s">
        <v>54</v>
      </c>
    </row>
    <row r="18" spans="1:10" ht="28.5" x14ac:dyDescent="0.25">
      <c r="A18" s="19" t="s">
        <v>112</v>
      </c>
      <c r="B18" s="19" t="s">
        <v>60</v>
      </c>
      <c r="C18" s="19" t="s">
        <v>103</v>
      </c>
      <c r="D18" s="20" t="s">
        <v>29</v>
      </c>
      <c r="E18" s="20" t="s">
        <v>113</v>
      </c>
      <c r="F18" s="20" t="s">
        <v>36</v>
      </c>
      <c r="G18" s="20" t="s">
        <v>114</v>
      </c>
      <c r="H18" s="20" t="s">
        <v>52</v>
      </c>
      <c r="I18" s="19" t="s">
        <v>53</v>
      </c>
      <c r="J18" s="21" t="s">
        <v>54</v>
      </c>
    </row>
    <row r="19" spans="1:10" ht="28.5" x14ac:dyDescent="0.25">
      <c r="A19" s="19" t="s">
        <v>115</v>
      </c>
      <c r="B19" s="19" t="s">
        <v>64</v>
      </c>
      <c r="C19" s="19" t="s">
        <v>103</v>
      </c>
      <c r="D19" s="20" t="s">
        <v>35</v>
      </c>
      <c r="E19" s="20" t="s">
        <v>116</v>
      </c>
      <c r="F19" s="20" t="s">
        <v>31</v>
      </c>
      <c r="G19" s="20" t="s">
        <v>117</v>
      </c>
      <c r="H19" s="20" t="s">
        <v>52</v>
      </c>
      <c r="I19" s="19" t="s">
        <v>53</v>
      </c>
      <c r="J19" s="21" t="s">
        <v>54</v>
      </c>
    </row>
    <row r="20" spans="1:10" x14ac:dyDescent="0.25">
      <c r="A20" s="22" t="s">
        <v>118</v>
      </c>
      <c r="B20" s="22" t="s">
        <v>68</v>
      </c>
      <c r="C20" s="22" t="s">
        <v>103</v>
      </c>
      <c r="D20" s="23" t="s">
        <v>69</v>
      </c>
      <c r="E20" s="23" t="s">
        <v>70</v>
      </c>
      <c r="F20" s="23" t="s">
        <v>71</v>
      </c>
      <c r="G20" s="23" t="s">
        <v>72</v>
      </c>
      <c r="H20" s="23" t="s">
        <v>73</v>
      </c>
      <c r="I20" s="22" t="s">
        <v>74</v>
      </c>
      <c r="J20" s="24" t="s">
        <v>54</v>
      </c>
    </row>
    <row r="21" spans="1:10" x14ac:dyDescent="0.25">
      <c r="A21" s="25" t="s">
        <v>119</v>
      </c>
      <c r="B21" s="25" t="s">
        <v>76</v>
      </c>
      <c r="C21" s="25" t="s">
        <v>103</v>
      </c>
      <c r="D21" s="26" t="s">
        <v>77</v>
      </c>
      <c r="E21" s="26" t="s">
        <v>78</v>
      </c>
      <c r="F21" s="26" t="s">
        <v>79</v>
      </c>
      <c r="G21" s="26" t="s">
        <v>80</v>
      </c>
      <c r="H21" s="26" t="s">
        <v>81</v>
      </c>
      <c r="I21" s="25" t="s">
        <v>82</v>
      </c>
      <c r="J21" s="27" t="s">
        <v>54</v>
      </c>
    </row>
    <row r="22" spans="1:10" ht="28.5" x14ac:dyDescent="0.25">
      <c r="A22" s="19" t="s">
        <v>120</v>
      </c>
      <c r="B22" s="19" t="s">
        <v>84</v>
      </c>
      <c r="C22" s="19" t="s">
        <v>121</v>
      </c>
      <c r="D22" s="20" t="s">
        <v>29</v>
      </c>
      <c r="E22" s="20" t="s">
        <v>122</v>
      </c>
      <c r="F22" s="20" t="s">
        <v>31</v>
      </c>
      <c r="G22" s="20" t="s">
        <v>123</v>
      </c>
      <c r="H22" s="20" t="s">
        <v>52</v>
      </c>
      <c r="I22" s="19" t="s">
        <v>53</v>
      </c>
      <c r="J22" s="21" t="s">
        <v>54</v>
      </c>
    </row>
    <row r="23" spans="1:10" ht="28.5" x14ac:dyDescent="0.25">
      <c r="A23" s="19" t="s">
        <v>124</v>
      </c>
      <c r="B23" s="19" t="s">
        <v>48</v>
      </c>
      <c r="C23" s="19" t="s">
        <v>121</v>
      </c>
      <c r="D23" s="20" t="s">
        <v>34</v>
      </c>
      <c r="E23" s="20" t="s">
        <v>125</v>
      </c>
      <c r="F23" s="20" t="s">
        <v>32</v>
      </c>
      <c r="G23" s="20" t="s">
        <v>126</v>
      </c>
      <c r="H23" s="20" t="s">
        <v>52</v>
      </c>
      <c r="I23" s="19" t="s">
        <v>53</v>
      </c>
      <c r="J23" s="21" t="s">
        <v>54</v>
      </c>
    </row>
    <row r="24" spans="1:10" ht="28.5" x14ac:dyDescent="0.25">
      <c r="A24" s="19" t="s">
        <v>127</v>
      </c>
      <c r="B24" s="19" t="s">
        <v>56</v>
      </c>
      <c r="C24" s="19" t="s">
        <v>121</v>
      </c>
      <c r="D24" s="20" t="s">
        <v>30</v>
      </c>
      <c r="E24" s="20" t="s">
        <v>128</v>
      </c>
      <c r="F24" s="20" t="s">
        <v>33</v>
      </c>
      <c r="G24" s="20" t="s">
        <v>129</v>
      </c>
      <c r="H24" s="20" t="s">
        <v>52</v>
      </c>
      <c r="I24" s="19" t="s">
        <v>53</v>
      </c>
      <c r="J24" s="21" t="s">
        <v>54</v>
      </c>
    </row>
    <row r="25" spans="1:10" ht="28.5" x14ac:dyDescent="0.25">
      <c r="A25" s="19" t="s">
        <v>130</v>
      </c>
      <c r="B25" s="19" t="s">
        <v>60</v>
      </c>
      <c r="C25" s="19" t="s">
        <v>121</v>
      </c>
      <c r="D25" s="20" t="s">
        <v>29</v>
      </c>
      <c r="E25" s="20" t="s">
        <v>131</v>
      </c>
      <c r="F25" s="20" t="s">
        <v>36</v>
      </c>
      <c r="G25" s="20" t="s">
        <v>132</v>
      </c>
      <c r="H25" s="20" t="s">
        <v>52</v>
      </c>
      <c r="I25" s="19" t="s">
        <v>53</v>
      </c>
      <c r="J25" s="21" t="s">
        <v>54</v>
      </c>
    </row>
    <row r="26" spans="1:10" ht="28.5" x14ac:dyDescent="0.25">
      <c r="A26" s="19" t="s">
        <v>133</v>
      </c>
      <c r="B26" s="19" t="s">
        <v>64</v>
      </c>
      <c r="C26" s="19" t="s">
        <v>121</v>
      </c>
      <c r="D26" s="20" t="s">
        <v>35</v>
      </c>
      <c r="E26" s="20" t="s">
        <v>134</v>
      </c>
      <c r="F26" s="20" t="s">
        <v>33</v>
      </c>
      <c r="G26" s="20" t="s">
        <v>135</v>
      </c>
      <c r="H26" s="20" t="s">
        <v>52</v>
      </c>
      <c r="I26" s="19" t="s">
        <v>53</v>
      </c>
      <c r="J26" s="21" t="s">
        <v>54</v>
      </c>
    </row>
    <row r="27" spans="1:10" x14ac:dyDescent="0.25">
      <c r="A27" s="22" t="s">
        <v>136</v>
      </c>
      <c r="B27" s="22" t="s">
        <v>68</v>
      </c>
      <c r="C27" s="22" t="s">
        <v>121</v>
      </c>
      <c r="D27" s="23" t="s">
        <v>69</v>
      </c>
      <c r="E27" s="23" t="s">
        <v>70</v>
      </c>
      <c r="F27" s="23" t="s">
        <v>71</v>
      </c>
      <c r="G27" s="23" t="s">
        <v>72</v>
      </c>
      <c r="H27" s="23" t="s">
        <v>73</v>
      </c>
      <c r="I27" s="22" t="s">
        <v>74</v>
      </c>
      <c r="J27" s="24" t="s">
        <v>54</v>
      </c>
    </row>
    <row r="28" spans="1:10" x14ac:dyDescent="0.25">
      <c r="A28" s="25" t="s">
        <v>137</v>
      </c>
      <c r="B28" s="25" t="s">
        <v>76</v>
      </c>
      <c r="C28" s="25" t="s">
        <v>121</v>
      </c>
      <c r="D28" s="26" t="s">
        <v>77</v>
      </c>
      <c r="E28" s="26" t="s">
        <v>78</v>
      </c>
      <c r="F28" s="26" t="s">
        <v>79</v>
      </c>
      <c r="G28" s="26" t="s">
        <v>80</v>
      </c>
      <c r="H28" s="26" t="s">
        <v>81</v>
      </c>
      <c r="I28" s="25" t="s">
        <v>82</v>
      </c>
      <c r="J28" s="27" t="s">
        <v>54</v>
      </c>
    </row>
    <row r="29" spans="1:10" ht="28.5" x14ac:dyDescent="0.25">
      <c r="A29" s="19" t="s">
        <v>138</v>
      </c>
      <c r="B29" s="19" t="s">
        <v>84</v>
      </c>
      <c r="C29" s="19" t="s">
        <v>139</v>
      </c>
      <c r="D29" s="20" t="s">
        <v>29</v>
      </c>
      <c r="E29" s="20" t="s">
        <v>140</v>
      </c>
      <c r="F29" s="20" t="s">
        <v>31</v>
      </c>
      <c r="G29" s="20" t="s">
        <v>141</v>
      </c>
      <c r="H29" s="20" t="s">
        <v>52</v>
      </c>
      <c r="I29" s="19" t="s">
        <v>53</v>
      </c>
      <c r="J29" s="21" t="s">
        <v>54</v>
      </c>
    </row>
    <row r="30" spans="1:10" ht="28.5" x14ac:dyDescent="0.25">
      <c r="A30" s="19" t="s">
        <v>142</v>
      </c>
      <c r="B30" s="19" t="s">
        <v>48</v>
      </c>
      <c r="C30" s="19" t="s">
        <v>139</v>
      </c>
      <c r="D30" s="20" t="s">
        <v>34</v>
      </c>
      <c r="E30" s="20" t="s">
        <v>143</v>
      </c>
      <c r="F30" s="20" t="s">
        <v>32</v>
      </c>
      <c r="G30" s="20" t="s">
        <v>144</v>
      </c>
      <c r="H30" s="20" t="s">
        <v>52</v>
      </c>
      <c r="I30" s="19" t="s">
        <v>53</v>
      </c>
      <c r="J30" s="21" t="s">
        <v>54</v>
      </c>
    </row>
    <row r="31" spans="1:10" ht="28.5" x14ac:dyDescent="0.25">
      <c r="A31" s="19" t="s">
        <v>145</v>
      </c>
      <c r="B31" s="19" t="s">
        <v>56</v>
      </c>
      <c r="C31" s="19" t="s">
        <v>139</v>
      </c>
      <c r="D31" s="20" t="s">
        <v>30</v>
      </c>
      <c r="E31" s="20" t="s">
        <v>146</v>
      </c>
      <c r="F31" s="20" t="s">
        <v>33</v>
      </c>
      <c r="G31" s="20" t="s">
        <v>147</v>
      </c>
      <c r="H31" s="20" t="s">
        <v>52</v>
      </c>
      <c r="I31" s="19" t="s">
        <v>53</v>
      </c>
      <c r="J31" s="21" t="s">
        <v>54</v>
      </c>
    </row>
    <row r="32" spans="1:10" ht="28.5" x14ac:dyDescent="0.25">
      <c r="A32" s="19" t="s">
        <v>148</v>
      </c>
      <c r="B32" s="19" t="s">
        <v>60</v>
      </c>
      <c r="C32" s="19" t="s">
        <v>139</v>
      </c>
      <c r="D32" s="20" t="s">
        <v>29</v>
      </c>
      <c r="E32" s="20" t="s">
        <v>149</v>
      </c>
      <c r="F32" s="20" t="s">
        <v>36</v>
      </c>
      <c r="G32" s="20" t="s">
        <v>150</v>
      </c>
      <c r="H32" s="20" t="s">
        <v>52</v>
      </c>
      <c r="I32" s="19" t="s">
        <v>53</v>
      </c>
      <c r="J32" s="21" t="s">
        <v>54</v>
      </c>
    </row>
    <row r="33" spans="1:10" ht="28.5" x14ac:dyDescent="0.25">
      <c r="A33" s="19" t="s">
        <v>151</v>
      </c>
      <c r="B33" s="19" t="s">
        <v>64</v>
      </c>
      <c r="C33" s="19" t="s">
        <v>139</v>
      </c>
      <c r="D33" s="20" t="s">
        <v>35</v>
      </c>
      <c r="E33" s="20" t="s">
        <v>152</v>
      </c>
      <c r="F33" s="20" t="s">
        <v>31</v>
      </c>
      <c r="G33" s="20" t="s">
        <v>153</v>
      </c>
      <c r="H33" s="20" t="s">
        <v>52</v>
      </c>
      <c r="I33" s="19" t="s">
        <v>53</v>
      </c>
      <c r="J33" s="21" t="s">
        <v>54</v>
      </c>
    </row>
    <row r="34" spans="1:10" x14ac:dyDescent="0.25">
      <c r="A34" s="22" t="s">
        <v>154</v>
      </c>
      <c r="B34" s="22" t="s">
        <v>68</v>
      </c>
      <c r="C34" s="22" t="s">
        <v>139</v>
      </c>
      <c r="D34" s="23" t="s">
        <v>69</v>
      </c>
      <c r="E34" s="23" t="s">
        <v>70</v>
      </c>
      <c r="F34" s="23" t="s">
        <v>71</v>
      </c>
      <c r="G34" s="23" t="s">
        <v>72</v>
      </c>
      <c r="H34" s="23" t="s">
        <v>73</v>
      </c>
      <c r="I34" s="22" t="s">
        <v>74</v>
      </c>
      <c r="J34" s="24" t="s">
        <v>54</v>
      </c>
    </row>
    <row r="35" spans="1:10" x14ac:dyDescent="0.25">
      <c r="A35" s="25" t="s">
        <v>155</v>
      </c>
      <c r="B35" s="25" t="s">
        <v>76</v>
      </c>
      <c r="C35" s="25" t="s">
        <v>139</v>
      </c>
      <c r="D35" s="26" t="s">
        <v>77</v>
      </c>
      <c r="E35" s="26" t="s">
        <v>78</v>
      </c>
      <c r="F35" s="26" t="s">
        <v>79</v>
      </c>
      <c r="G35" s="26" t="s">
        <v>80</v>
      </c>
      <c r="H35" s="26" t="s">
        <v>81</v>
      </c>
      <c r="I35" s="25" t="s">
        <v>82</v>
      </c>
      <c r="J35" s="27" t="s">
        <v>54</v>
      </c>
    </row>
    <row r="36" spans="1:10" ht="28.5" x14ac:dyDescent="0.25">
      <c r="A36" s="19" t="s">
        <v>156</v>
      </c>
      <c r="B36" s="19" t="s">
        <v>84</v>
      </c>
      <c r="C36" s="19" t="s">
        <v>157</v>
      </c>
      <c r="D36" s="20" t="s">
        <v>29</v>
      </c>
      <c r="E36" s="20" t="s">
        <v>158</v>
      </c>
      <c r="F36" s="20" t="s">
        <v>31</v>
      </c>
      <c r="G36" s="20" t="s">
        <v>159</v>
      </c>
      <c r="H36" s="20" t="s">
        <v>52</v>
      </c>
      <c r="I36" s="19" t="s">
        <v>53</v>
      </c>
      <c r="J36" s="21" t="s">
        <v>54</v>
      </c>
    </row>
    <row r="37" spans="1:10" ht="28.5" x14ac:dyDescent="0.25">
      <c r="A37" s="19" t="s">
        <v>160</v>
      </c>
      <c r="B37" s="19" t="s">
        <v>48</v>
      </c>
      <c r="C37" s="19" t="s">
        <v>157</v>
      </c>
      <c r="D37" s="20" t="s">
        <v>34</v>
      </c>
      <c r="E37" s="20" t="s">
        <v>161</v>
      </c>
      <c r="F37" s="20" t="s">
        <v>32</v>
      </c>
      <c r="G37" s="20" t="s">
        <v>162</v>
      </c>
      <c r="H37" s="20" t="s">
        <v>52</v>
      </c>
      <c r="I37" s="19" t="s">
        <v>53</v>
      </c>
      <c r="J37" s="21" t="s">
        <v>54</v>
      </c>
    </row>
    <row r="38" spans="1:10" ht="28.5" x14ac:dyDescent="0.25">
      <c r="A38" s="19" t="s">
        <v>163</v>
      </c>
      <c r="B38" s="19" t="s">
        <v>56</v>
      </c>
      <c r="C38" s="19" t="s">
        <v>157</v>
      </c>
      <c r="D38" s="20" t="s">
        <v>30</v>
      </c>
      <c r="E38" s="20" t="s">
        <v>164</v>
      </c>
      <c r="F38" s="20" t="s">
        <v>33</v>
      </c>
      <c r="G38" s="20" t="s">
        <v>165</v>
      </c>
      <c r="H38" s="20" t="s">
        <v>52</v>
      </c>
      <c r="I38" s="19" t="s">
        <v>53</v>
      </c>
      <c r="J38" s="21" t="s">
        <v>54</v>
      </c>
    </row>
    <row r="39" spans="1:10" ht="28.5" x14ac:dyDescent="0.25">
      <c r="A39" s="19" t="s">
        <v>166</v>
      </c>
      <c r="B39" s="19" t="s">
        <v>60</v>
      </c>
      <c r="C39" s="19" t="s">
        <v>157</v>
      </c>
      <c r="D39" s="20" t="s">
        <v>29</v>
      </c>
      <c r="E39" s="20" t="s">
        <v>167</v>
      </c>
      <c r="F39" s="20" t="s">
        <v>36</v>
      </c>
      <c r="G39" s="20" t="s">
        <v>168</v>
      </c>
      <c r="H39" s="20" t="s">
        <v>52</v>
      </c>
      <c r="I39" s="19" t="s">
        <v>53</v>
      </c>
      <c r="J39" s="21" t="s">
        <v>54</v>
      </c>
    </row>
    <row r="40" spans="1:10" ht="28.5" x14ac:dyDescent="0.25">
      <c r="A40" s="19" t="s">
        <v>169</v>
      </c>
      <c r="B40" s="19" t="s">
        <v>64</v>
      </c>
      <c r="C40" s="19" t="s">
        <v>157</v>
      </c>
      <c r="D40" s="20" t="s">
        <v>35</v>
      </c>
      <c r="E40" s="20" t="s">
        <v>168</v>
      </c>
      <c r="F40" s="20" t="s">
        <v>33</v>
      </c>
      <c r="G40" s="20" t="s">
        <v>170</v>
      </c>
      <c r="H40" s="20" t="s">
        <v>52</v>
      </c>
      <c r="I40" s="19" t="s">
        <v>53</v>
      </c>
      <c r="J40" s="21" t="s">
        <v>54</v>
      </c>
    </row>
    <row r="41" spans="1:10" x14ac:dyDescent="0.25">
      <c r="A41" s="22" t="s">
        <v>171</v>
      </c>
      <c r="B41" s="22" t="s">
        <v>68</v>
      </c>
      <c r="C41" s="22" t="s">
        <v>157</v>
      </c>
      <c r="D41" s="23" t="s">
        <v>69</v>
      </c>
      <c r="E41" s="23" t="s">
        <v>70</v>
      </c>
      <c r="F41" s="23" t="s">
        <v>71</v>
      </c>
      <c r="G41" s="23" t="s">
        <v>72</v>
      </c>
      <c r="H41" s="23" t="s">
        <v>73</v>
      </c>
      <c r="I41" s="22" t="s">
        <v>74</v>
      </c>
      <c r="J41" s="24" t="s">
        <v>54</v>
      </c>
    </row>
    <row r="42" spans="1:10" x14ac:dyDescent="0.25">
      <c r="A42" s="25" t="s">
        <v>172</v>
      </c>
      <c r="B42" s="25" t="s">
        <v>76</v>
      </c>
      <c r="C42" s="25" t="s">
        <v>157</v>
      </c>
      <c r="D42" s="26" t="s">
        <v>77</v>
      </c>
      <c r="E42" s="26" t="s">
        <v>78</v>
      </c>
      <c r="F42" s="26" t="s">
        <v>79</v>
      </c>
      <c r="G42" s="26" t="s">
        <v>80</v>
      </c>
      <c r="H42" s="26" t="s">
        <v>81</v>
      </c>
      <c r="I42" s="25" t="s">
        <v>82</v>
      </c>
      <c r="J42" s="27" t="s">
        <v>54</v>
      </c>
    </row>
    <row r="43" spans="1:10" ht="28.5" x14ac:dyDescent="0.25">
      <c r="A43" s="19" t="s">
        <v>173</v>
      </c>
      <c r="B43" s="19" t="s">
        <v>84</v>
      </c>
      <c r="C43" s="19" t="s">
        <v>174</v>
      </c>
      <c r="D43" s="20" t="s">
        <v>29</v>
      </c>
      <c r="E43" s="20" t="s">
        <v>175</v>
      </c>
      <c r="F43" s="20" t="s">
        <v>31</v>
      </c>
      <c r="G43" s="20" t="s">
        <v>176</v>
      </c>
      <c r="H43" s="20" t="s">
        <v>52</v>
      </c>
      <c r="I43" s="19" t="s">
        <v>53</v>
      </c>
      <c r="J43" s="21" t="s">
        <v>54</v>
      </c>
    </row>
    <row r="44" spans="1:10" ht="28.5" x14ac:dyDescent="0.25">
      <c r="A44" s="19" t="s">
        <v>177</v>
      </c>
      <c r="B44" s="19" t="s">
        <v>48</v>
      </c>
      <c r="C44" s="19" t="s">
        <v>174</v>
      </c>
      <c r="D44" s="20" t="s">
        <v>34</v>
      </c>
      <c r="E44" s="20" t="s">
        <v>178</v>
      </c>
      <c r="F44" s="20" t="s">
        <v>32</v>
      </c>
      <c r="G44" s="20" t="s">
        <v>179</v>
      </c>
      <c r="H44" s="20" t="s">
        <v>52</v>
      </c>
      <c r="I44" s="19" t="s">
        <v>53</v>
      </c>
      <c r="J44" s="21" t="s">
        <v>54</v>
      </c>
    </row>
    <row r="45" spans="1:10" ht="28.5" x14ac:dyDescent="0.25">
      <c r="A45" s="19" t="s">
        <v>180</v>
      </c>
      <c r="B45" s="19" t="s">
        <v>56</v>
      </c>
      <c r="C45" s="19" t="s">
        <v>174</v>
      </c>
      <c r="D45" s="20" t="s">
        <v>30</v>
      </c>
      <c r="E45" s="20" t="s">
        <v>181</v>
      </c>
      <c r="F45" s="20" t="s">
        <v>33</v>
      </c>
      <c r="G45" s="20" t="s">
        <v>182</v>
      </c>
      <c r="H45" s="20" t="s">
        <v>52</v>
      </c>
      <c r="I45" s="19" t="s">
        <v>53</v>
      </c>
      <c r="J45" s="21" t="s">
        <v>54</v>
      </c>
    </row>
    <row r="46" spans="1:10" ht="28.5" x14ac:dyDescent="0.25">
      <c r="A46" s="19" t="s">
        <v>183</v>
      </c>
      <c r="B46" s="19" t="s">
        <v>60</v>
      </c>
      <c r="C46" s="19" t="s">
        <v>174</v>
      </c>
      <c r="D46" s="20" t="s">
        <v>29</v>
      </c>
      <c r="E46" s="20" t="s">
        <v>184</v>
      </c>
      <c r="F46" s="20" t="s">
        <v>36</v>
      </c>
      <c r="G46" s="20" t="s">
        <v>168</v>
      </c>
      <c r="H46" s="20" t="s">
        <v>52</v>
      </c>
      <c r="I46" s="19" t="s">
        <v>53</v>
      </c>
      <c r="J46" s="21" t="s">
        <v>54</v>
      </c>
    </row>
    <row r="47" spans="1:10" ht="28.5" x14ac:dyDescent="0.25">
      <c r="A47" s="19" t="s">
        <v>185</v>
      </c>
      <c r="B47" s="19" t="s">
        <v>64</v>
      </c>
      <c r="C47" s="19" t="s">
        <v>174</v>
      </c>
      <c r="D47" s="20" t="s">
        <v>35</v>
      </c>
      <c r="E47" s="20" t="s">
        <v>168</v>
      </c>
      <c r="F47" s="20" t="s">
        <v>31</v>
      </c>
      <c r="G47" s="20" t="s">
        <v>186</v>
      </c>
      <c r="H47" s="20" t="s">
        <v>52</v>
      </c>
      <c r="I47" s="19" t="s">
        <v>53</v>
      </c>
      <c r="J47" s="21" t="s">
        <v>54</v>
      </c>
    </row>
    <row r="48" spans="1:10" x14ac:dyDescent="0.25">
      <c r="A48" s="22" t="s">
        <v>187</v>
      </c>
      <c r="B48" s="22" t="s">
        <v>68</v>
      </c>
      <c r="C48" s="22" t="s">
        <v>174</v>
      </c>
      <c r="D48" s="23" t="s">
        <v>69</v>
      </c>
      <c r="E48" s="23" t="s">
        <v>70</v>
      </c>
      <c r="F48" s="23" t="s">
        <v>71</v>
      </c>
      <c r="G48" s="23" t="s">
        <v>72</v>
      </c>
      <c r="H48" s="23" t="s">
        <v>73</v>
      </c>
      <c r="I48" s="22" t="s">
        <v>74</v>
      </c>
      <c r="J48" s="24" t="s">
        <v>54</v>
      </c>
    </row>
    <row r="49" spans="1:10" x14ac:dyDescent="0.25">
      <c r="A49" s="25" t="s">
        <v>188</v>
      </c>
      <c r="B49" s="25" t="s">
        <v>76</v>
      </c>
      <c r="C49" s="25" t="s">
        <v>174</v>
      </c>
      <c r="D49" s="26" t="s">
        <v>77</v>
      </c>
      <c r="E49" s="26" t="s">
        <v>78</v>
      </c>
      <c r="F49" s="26" t="s">
        <v>79</v>
      </c>
      <c r="G49" s="26" t="s">
        <v>80</v>
      </c>
      <c r="H49" s="26" t="s">
        <v>81</v>
      </c>
      <c r="I49" s="25" t="s">
        <v>82</v>
      </c>
      <c r="J49" s="27" t="s">
        <v>54</v>
      </c>
    </row>
    <row r="50" spans="1:10" ht="28.5" x14ac:dyDescent="0.25">
      <c r="A50" s="19" t="s">
        <v>189</v>
      </c>
      <c r="B50" s="19" t="s">
        <v>84</v>
      </c>
      <c r="C50" s="19" t="s">
        <v>190</v>
      </c>
      <c r="D50" s="20" t="s">
        <v>29</v>
      </c>
      <c r="E50" s="20" t="s">
        <v>191</v>
      </c>
      <c r="F50" s="20" t="s">
        <v>31</v>
      </c>
      <c r="G50" s="20" t="s">
        <v>192</v>
      </c>
      <c r="H50" s="20" t="s">
        <v>52</v>
      </c>
      <c r="I50" s="19" t="s">
        <v>53</v>
      </c>
      <c r="J50" s="21" t="s">
        <v>54</v>
      </c>
    </row>
    <row r="51" spans="1:10" ht="28.5" x14ac:dyDescent="0.25">
      <c r="A51" s="19" t="s">
        <v>193</v>
      </c>
      <c r="B51" s="19" t="s">
        <v>48</v>
      </c>
      <c r="C51" s="19" t="s">
        <v>190</v>
      </c>
      <c r="D51" s="20" t="s">
        <v>34</v>
      </c>
      <c r="E51" s="20" t="s">
        <v>194</v>
      </c>
      <c r="F51" s="20" t="s">
        <v>32</v>
      </c>
      <c r="G51" s="20" t="s">
        <v>195</v>
      </c>
      <c r="H51" s="20" t="s">
        <v>52</v>
      </c>
      <c r="I51" s="19" t="s">
        <v>53</v>
      </c>
      <c r="J51" s="21" t="s">
        <v>54</v>
      </c>
    </row>
    <row r="52" spans="1:10" ht="28.5" x14ac:dyDescent="0.25">
      <c r="A52" s="19" t="s">
        <v>196</v>
      </c>
      <c r="B52" s="19" t="s">
        <v>56</v>
      </c>
      <c r="C52" s="19" t="s">
        <v>190</v>
      </c>
      <c r="D52" s="20" t="s">
        <v>30</v>
      </c>
      <c r="E52" s="20" t="s">
        <v>197</v>
      </c>
      <c r="F52" s="20" t="s">
        <v>33</v>
      </c>
      <c r="G52" s="20" t="s">
        <v>198</v>
      </c>
      <c r="H52" s="20" t="s">
        <v>52</v>
      </c>
      <c r="I52" s="19" t="s">
        <v>53</v>
      </c>
      <c r="J52" s="21" t="s">
        <v>54</v>
      </c>
    </row>
    <row r="53" spans="1:10" ht="28.5" x14ac:dyDescent="0.25">
      <c r="A53" s="19" t="s">
        <v>199</v>
      </c>
      <c r="B53" s="19" t="s">
        <v>60</v>
      </c>
      <c r="C53" s="19" t="s">
        <v>190</v>
      </c>
      <c r="D53" s="20" t="s">
        <v>29</v>
      </c>
      <c r="E53" s="20" t="s">
        <v>200</v>
      </c>
      <c r="F53" s="20" t="s">
        <v>36</v>
      </c>
      <c r="G53" s="20" t="s">
        <v>168</v>
      </c>
      <c r="H53" s="20" t="s">
        <v>52</v>
      </c>
      <c r="I53" s="19" t="s">
        <v>53</v>
      </c>
      <c r="J53" s="21" t="s">
        <v>54</v>
      </c>
    </row>
    <row r="54" spans="1:10" ht="28.5" x14ac:dyDescent="0.25">
      <c r="A54" s="19" t="s">
        <v>201</v>
      </c>
      <c r="B54" s="19" t="s">
        <v>64</v>
      </c>
      <c r="C54" s="19" t="s">
        <v>190</v>
      </c>
      <c r="D54" s="20" t="s">
        <v>35</v>
      </c>
      <c r="E54" s="20" t="s">
        <v>168</v>
      </c>
      <c r="F54" s="20" t="s">
        <v>33</v>
      </c>
      <c r="G54" s="20" t="s">
        <v>202</v>
      </c>
      <c r="H54" s="20" t="s">
        <v>52</v>
      </c>
      <c r="I54" s="19" t="s">
        <v>53</v>
      </c>
      <c r="J54" s="21" t="s">
        <v>54</v>
      </c>
    </row>
    <row r="55" spans="1:10" x14ac:dyDescent="0.25">
      <c r="A55" s="22" t="s">
        <v>203</v>
      </c>
      <c r="B55" s="22" t="s">
        <v>68</v>
      </c>
      <c r="C55" s="22" t="s">
        <v>190</v>
      </c>
      <c r="D55" s="23" t="s">
        <v>69</v>
      </c>
      <c r="E55" s="23" t="s">
        <v>70</v>
      </c>
      <c r="F55" s="23" t="s">
        <v>71</v>
      </c>
      <c r="G55" s="23" t="s">
        <v>72</v>
      </c>
      <c r="H55" s="23" t="s">
        <v>73</v>
      </c>
      <c r="I55" s="22" t="s">
        <v>74</v>
      </c>
      <c r="J55" s="24" t="s">
        <v>54</v>
      </c>
    </row>
    <row r="56" spans="1:10" x14ac:dyDescent="0.25">
      <c r="A56" s="25" t="s">
        <v>204</v>
      </c>
      <c r="B56" s="25" t="s">
        <v>76</v>
      </c>
      <c r="C56" s="25" t="s">
        <v>190</v>
      </c>
      <c r="D56" s="26" t="s">
        <v>77</v>
      </c>
      <c r="E56" s="26" t="s">
        <v>78</v>
      </c>
      <c r="F56" s="26" t="s">
        <v>79</v>
      </c>
      <c r="G56" s="26" t="s">
        <v>80</v>
      </c>
      <c r="H56" s="26" t="s">
        <v>81</v>
      </c>
      <c r="I56" s="25" t="s">
        <v>82</v>
      </c>
      <c r="J56" s="27" t="s">
        <v>54</v>
      </c>
    </row>
    <row r="57" spans="1:10" ht="28.5" x14ac:dyDescent="0.25">
      <c r="A57" s="19" t="s">
        <v>205</v>
      </c>
      <c r="B57" s="19" t="s">
        <v>84</v>
      </c>
      <c r="C57" s="19" t="s">
        <v>206</v>
      </c>
      <c r="D57" s="20" t="s">
        <v>29</v>
      </c>
      <c r="E57" s="20" t="s">
        <v>207</v>
      </c>
      <c r="F57" s="20" t="s">
        <v>31</v>
      </c>
      <c r="G57" s="20" t="s">
        <v>208</v>
      </c>
      <c r="H57" s="20" t="s">
        <v>52</v>
      </c>
      <c r="I57" s="19" t="s">
        <v>53</v>
      </c>
      <c r="J57" s="21" t="s">
        <v>54</v>
      </c>
    </row>
    <row r="58" spans="1:10" ht="28.5" x14ac:dyDescent="0.25">
      <c r="A58" s="19" t="s">
        <v>209</v>
      </c>
      <c r="B58" s="19" t="s">
        <v>48</v>
      </c>
      <c r="C58" s="19" t="s">
        <v>206</v>
      </c>
      <c r="D58" s="20" t="s">
        <v>34</v>
      </c>
      <c r="E58" s="20" t="s">
        <v>168</v>
      </c>
      <c r="F58" s="20" t="s">
        <v>32</v>
      </c>
      <c r="G58" s="20" t="s">
        <v>210</v>
      </c>
      <c r="H58" s="20" t="s">
        <v>52</v>
      </c>
      <c r="I58" s="19" t="s">
        <v>53</v>
      </c>
      <c r="J58" s="21" t="s">
        <v>54</v>
      </c>
    </row>
    <row r="59" spans="1:10" ht="28.5" x14ac:dyDescent="0.25">
      <c r="A59" s="19" t="s">
        <v>211</v>
      </c>
      <c r="B59" s="19" t="s">
        <v>56</v>
      </c>
      <c r="C59" s="19" t="s">
        <v>206</v>
      </c>
      <c r="D59" s="20" t="s">
        <v>30</v>
      </c>
      <c r="E59" s="20" t="s">
        <v>212</v>
      </c>
      <c r="F59" s="20" t="s">
        <v>33</v>
      </c>
      <c r="G59" s="20" t="s">
        <v>213</v>
      </c>
      <c r="H59" s="20" t="s">
        <v>52</v>
      </c>
      <c r="I59" s="19" t="s">
        <v>53</v>
      </c>
      <c r="J59" s="21" t="s">
        <v>54</v>
      </c>
    </row>
    <row r="60" spans="1:10" ht="28.5" x14ac:dyDescent="0.25">
      <c r="A60" s="19" t="s">
        <v>214</v>
      </c>
      <c r="B60" s="19" t="s">
        <v>60</v>
      </c>
      <c r="C60" s="19" t="s">
        <v>206</v>
      </c>
      <c r="D60" s="20" t="s">
        <v>29</v>
      </c>
      <c r="E60" s="20" t="s">
        <v>215</v>
      </c>
      <c r="F60" s="20" t="s">
        <v>36</v>
      </c>
      <c r="G60" s="20" t="s">
        <v>168</v>
      </c>
      <c r="H60" s="20" t="s">
        <v>52</v>
      </c>
      <c r="I60" s="19" t="s">
        <v>53</v>
      </c>
      <c r="J60" s="21" t="s">
        <v>54</v>
      </c>
    </row>
    <row r="61" spans="1:10" ht="28.5" x14ac:dyDescent="0.25">
      <c r="A61" s="19" t="s">
        <v>216</v>
      </c>
      <c r="B61" s="19" t="s">
        <v>64</v>
      </c>
      <c r="C61" s="19" t="s">
        <v>206</v>
      </c>
      <c r="D61" s="20" t="s">
        <v>35</v>
      </c>
      <c r="E61" s="20" t="s">
        <v>168</v>
      </c>
      <c r="F61" s="20" t="s">
        <v>31</v>
      </c>
      <c r="G61" s="20" t="s">
        <v>168</v>
      </c>
      <c r="H61" s="20" t="s">
        <v>52</v>
      </c>
      <c r="I61" s="19" t="s">
        <v>53</v>
      </c>
      <c r="J61" s="21" t="s">
        <v>54</v>
      </c>
    </row>
    <row r="62" spans="1:10" x14ac:dyDescent="0.25">
      <c r="A62" s="22" t="s">
        <v>217</v>
      </c>
      <c r="B62" s="22" t="s">
        <v>68</v>
      </c>
      <c r="C62" s="22" t="s">
        <v>206</v>
      </c>
      <c r="D62" s="23" t="s">
        <v>69</v>
      </c>
      <c r="E62" s="23" t="s">
        <v>70</v>
      </c>
      <c r="F62" s="23" t="s">
        <v>71</v>
      </c>
      <c r="G62" s="23" t="s">
        <v>72</v>
      </c>
      <c r="H62" s="23" t="s">
        <v>73</v>
      </c>
      <c r="I62" s="22" t="s">
        <v>74</v>
      </c>
      <c r="J62" s="24" t="s">
        <v>54</v>
      </c>
    </row>
    <row r="63" spans="1:10" x14ac:dyDescent="0.25">
      <c r="A63" s="25" t="s">
        <v>218</v>
      </c>
      <c r="B63" s="25" t="s">
        <v>76</v>
      </c>
      <c r="C63" s="25" t="s">
        <v>206</v>
      </c>
      <c r="D63" s="26" t="s">
        <v>77</v>
      </c>
      <c r="E63" s="26" t="s">
        <v>78</v>
      </c>
      <c r="F63" s="26" t="s">
        <v>79</v>
      </c>
      <c r="G63" s="26" t="s">
        <v>80</v>
      </c>
      <c r="H63" s="26" t="s">
        <v>81</v>
      </c>
      <c r="I63" s="25" t="s">
        <v>82</v>
      </c>
      <c r="J63" s="27" t="s">
        <v>54</v>
      </c>
    </row>
    <row r="64" spans="1:10" ht="28.5" x14ac:dyDescent="0.25">
      <c r="A64" s="19" t="s">
        <v>219</v>
      </c>
      <c r="B64" s="19" t="s">
        <v>84</v>
      </c>
      <c r="C64" s="19" t="s">
        <v>220</v>
      </c>
      <c r="D64" s="20" t="s">
        <v>29</v>
      </c>
      <c r="E64" s="20" t="s">
        <v>221</v>
      </c>
      <c r="F64" s="20" t="s">
        <v>31</v>
      </c>
      <c r="G64" s="20" t="s">
        <v>168</v>
      </c>
      <c r="H64" s="20" t="s">
        <v>52</v>
      </c>
      <c r="I64" s="19" t="s">
        <v>53</v>
      </c>
      <c r="J64" s="21" t="s">
        <v>54</v>
      </c>
    </row>
    <row r="65" spans="1:10" ht="28.5" x14ac:dyDescent="0.25">
      <c r="A65" s="19" t="s">
        <v>222</v>
      </c>
      <c r="B65" s="19" t="s">
        <v>48</v>
      </c>
      <c r="C65" s="19" t="s">
        <v>220</v>
      </c>
      <c r="D65" s="20" t="s">
        <v>34</v>
      </c>
      <c r="E65" s="20" t="s">
        <v>168</v>
      </c>
      <c r="F65" s="20" t="s">
        <v>32</v>
      </c>
      <c r="G65" s="20" t="s">
        <v>223</v>
      </c>
      <c r="H65" s="20" t="s">
        <v>52</v>
      </c>
      <c r="I65" s="19" t="s">
        <v>53</v>
      </c>
      <c r="J65" s="21" t="s">
        <v>54</v>
      </c>
    </row>
    <row r="66" spans="1:10" ht="28.5" x14ac:dyDescent="0.25">
      <c r="A66" s="19" t="s">
        <v>224</v>
      </c>
      <c r="B66" s="19" t="s">
        <v>56</v>
      </c>
      <c r="C66" s="19" t="s">
        <v>220</v>
      </c>
      <c r="D66" s="20" t="s">
        <v>30</v>
      </c>
      <c r="E66" s="20" t="s">
        <v>225</v>
      </c>
      <c r="F66" s="20" t="s">
        <v>33</v>
      </c>
      <c r="G66" s="20" t="s">
        <v>226</v>
      </c>
      <c r="H66" s="20" t="s">
        <v>52</v>
      </c>
      <c r="I66" s="19" t="s">
        <v>53</v>
      </c>
      <c r="J66" s="21" t="s">
        <v>54</v>
      </c>
    </row>
    <row r="67" spans="1:10" ht="28.5" x14ac:dyDescent="0.25">
      <c r="A67" s="19" t="s">
        <v>227</v>
      </c>
      <c r="B67" s="19" t="s">
        <v>60</v>
      </c>
      <c r="C67" s="19" t="s">
        <v>220</v>
      </c>
      <c r="D67" s="20" t="s">
        <v>29</v>
      </c>
      <c r="E67" s="20" t="s">
        <v>228</v>
      </c>
      <c r="F67" s="20" t="s">
        <v>36</v>
      </c>
      <c r="G67" s="20" t="s">
        <v>168</v>
      </c>
      <c r="H67" s="20" t="s">
        <v>52</v>
      </c>
      <c r="I67" s="19" t="s">
        <v>53</v>
      </c>
      <c r="J67" s="21" t="s">
        <v>54</v>
      </c>
    </row>
    <row r="68" spans="1:10" ht="28.5" x14ac:dyDescent="0.25">
      <c r="A68" s="19" t="s">
        <v>229</v>
      </c>
      <c r="B68" s="19" t="s">
        <v>64</v>
      </c>
      <c r="C68" s="19" t="s">
        <v>220</v>
      </c>
      <c r="D68" s="20" t="s">
        <v>35</v>
      </c>
      <c r="E68" s="20" t="s">
        <v>168</v>
      </c>
      <c r="F68" s="20" t="s">
        <v>33</v>
      </c>
      <c r="G68" s="20" t="s">
        <v>230</v>
      </c>
      <c r="H68" s="20" t="s">
        <v>52</v>
      </c>
      <c r="I68" s="19" t="s">
        <v>53</v>
      </c>
      <c r="J68" s="21" t="s">
        <v>54</v>
      </c>
    </row>
    <row r="69" spans="1:10" x14ac:dyDescent="0.25">
      <c r="A69" s="22" t="s">
        <v>231</v>
      </c>
      <c r="B69" s="22" t="s">
        <v>68</v>
      </c>
      <c r="C69" s="22" t="s">
        <v>220</v>
      </c>
      <c r="D69" s="23" t="s">
        <v>69</v>
      </c>
      <c r="E69" s="23" t="s">
        <v>70</v>
      </c>
      <c r="F69" s="23" t="s">
        <v>71</v>
      </c>
      <c r="G69" s="23" t="s">
        <v>72</v>
      </c>
      <c r="H69" s="23" t="s">
        <v>73</v>
      </c>
      <c r="I69" s="22" t="s">
        <v>74</v>
      </c>
      <c r="J69" s="24" t="s">
        <v>54</v>
      </c>
    </row>
    <row r="70" spans="1:10" x14ac:dyDescent="0.25">
      <c r="A70" s="25" t="s">
        <v>232</v>
      </c>
      <c r="B70" s="25" t="s">
        <v>76</v>
      </c>
      <c r="C70" s="25" t="s">
        <v>220</v>
      </c>
      <c r="D70" s="26" t="s">
        <v>77</v>
      </c>
      <c r="E70" s="26" t="s">
        <v>78</v>
      </c>
      <c r="F70" s="26" t="s">
        <v>79</v>
      </c>
      <c r="G70" s="26" t="s">
        <v>80</v>
      </c>
      <c r="H70" s="26" t="s">
        <v>81</v>
      </c>
      <c r="I70" s="25" t="s">
        <v>82</v>
      </c>
      <c r="J70" s="27" t="s">
        <v>54</v>
      </c>
    </row>
    <row r="71" spans="1:10" ht="42.75" x14ac:dyDescent="0.25">
      <c r="A71" s="19" t="s">
        <v>233</v>
      </c>
      <c r="B71" s="19" t="s">
        <v>84</v>
      </c>
      <c r="C71" s="19" t="s">
        <v>234</v>
      </c>
      <c r="D71" s="20" t="s">
        <v>29</v>
      </c>
      <c r="E71" s="20" t="s">
        <v>235</v>
      </c>
      <c r="F71" s="20" t="s">
        <v>31</v>
      </c>
      <c r="G71" s="20" t="s">
        <v>168</v>
      </c>
      <c r="H71" s="20" t="s">
        <v>52</v>
      </c>
      <c r="I71" s="19" t="s">
        <v>53</v>
      </c>
      <c r="J71" s="21" t="s">
        <v>54</v>
      </c>
    </row>
    <row r="72" spans="1:10" ht="28.5" x14ac:dyDescent="0.25">
      <c r="A72" s="19" t="s">
        <v>236</v>
      </c>
      <c r="B72" s="19" t="s">
        <v>48</v>
      </c>
      <c r="C72" s="19" t="s">
        <v>234</v>
      </c>
      <c r="D72" s="20" t="s">
        <v>34</v>
      </c>
      <c r="E72" s="20" t="s">
        <v>168</v>
      </c>
      <c r="F72" s="20" t="s">
        <v>32</v>
      </c>
      <c r="G72" s="20" t="s">
        <v>168</v>
      </c>
      <c r="H72" s="20" t="s">
        <v>52</v>
      </c>
      <c r="I72" s="19" t="s">
        <v>53</v>
      </c>
      <c r="J72" s="21" t="s">
        <v>54</v>
      </c>
    </row>
    <row r="73" spans="1:10" ht="28.5" x14ac:dyDescent="0.25">
      <c r="A73" s="19" t="s">
        <v>237</v>
      </c>
      <c r="B73" s="19" t="s">
        <v>56</v>
      </c>
      <c r="C73" s="19" t="s">
        <v>234</v>
      </c>
      <c r="D73" s="20" t="s">
        <v>30</v>
      </c>
      <c r="E73" s="20" t="s">
        <v>238</v>
      </c>
      <c r="F73" s="20" t="s">
        <v>33</v>
      </c>
      <c r="G73" s="20" t="s">
        <v>168</v>
      </c>
      <c r="H73" s="20" t="s">
        <v>52</v>
      </c>
      <c r="I73" s="19" t="s">
        <v>53</v>
      </c>
      <c r="J73" s="21" t="s">
        <v>54</v>
      </c>
    </row>
    <row r="74" spans="1:10" ht="28.5" x14ac:dyDescent="0.25">
      <c r="A74" s="19" t="s">
        <v>239</v>
      </c>
      <c r="B74" s="19" t="s">
        <v>60</v>
      </c>
      <c r="C74" s="19" t="s">
        <v>234</v>
      </c>
      <c r="D74" s="20" t="s">
        <v>29</v>
      </c>
      <c r="E74" s="20" t="s">
        <v>168</v>
      </c>
      <c r="F74" s="20" t="s">
        <v>36</v>
      </c>
      <c r="G74" s="20" t="s">
        <v>168</v>
      </c>
      <c r="H74" s="20" t="s">
        <v>52</v>
      </c>
      <c r="I74" s="19" t="s">
        <v>53</v>
      </c>
      <c r="J74" s="21" t="s">
        <v>54</v>
      </c>
    </row>
    <row r="75" spans="1:10" ht="28.5" x14ac:dyDescent="0.25">
      <c r="A75" s="19" t="s">
        <v>240</v>
      </c>
      <c r="B75" s="19" t="s">
        <v>64</v>
      </c>
      <c r="C75" s="19" t="s">
        <v>234</v>
      </c>
      <c r="D75" s="20" t="s">
        <v>35</v>
      </c>
      <c r="E75" s="20" t="s">
        <v>168</v>
      </c>
      <c r="F75" s="20" t="s">
        <v>31</v>
      </c>
      <c r="G75" s="20" t="s">
        <v>168</v>
      </c>
      <c r="H75" s="20" t="s">
        <v>52</v>
      </c>
      <c r="I75" s="19" t="s">
        <v>53</v>
      </c>
      <c r="J75" s="21" t="s">
        <v>54</v>
      </c>
    </row>
    <row r="76" spans="1:10" x14ac:dyDescent="0.25">
      <c r="A76" s="22" t="s">
        <v>241</v>
      </c>
      <c r="B76" s="22" t="s">
        <v>68</v>
      </c>
      <c r="C76" s="22" t="s">
        <v>234</v>
      </c>
      <c r="D76" s="23" t="s">
        <v>69</v>
      </c>
      <c r="E76" s="23" t="s">
        <v>70</v>
      </c>
      <c r="F76" s="23" t="s">
        <v>71</v>
      </c>
      <c r="G76" s="23" t="s">
        <v>72</v>
      </c>
      <c r="H76" s="23" t="s">
        <v>73</v>
      </c>
      <c r="I76" s="22" t="s">
        <v>74</v>
      </c>
      <c r="J76" s="24" t="s">
        <v>54</v>
      </c>
    </row>
    <row r="77" spans="1:10" x14ac:dyDescent="0.25">
      <c r="A77" s="25" t="s">
        <v>242</v>
      </c>
      <c r="B77" s="25" t="s">
        <v>76</v>
      </c>
      <c r="C77" s="25" t="s">
        <v>234</v>
      </c>
      <c r="D77" s="26" t="s">
        <v>77</v>
      </c>
      <c r="E77" s="26" t="s">
        <v>78</v>
      </c>
      <c r="F77" s="26" t="s">
        <v>79</v>
      </c>
      <c r="G77" s="26" t="s">
        <v>80</v>
      </c>
      <c r="H77" s="26" t="s">
        <v>81</v>
      </c>
      <c r="I77" s="25" t="s">
        <v>82</v>
      </c>
      <c r="J77" s="27" t="s">
        <v>54</v>
      </c>
    </row>
    <row r="78" spans="1:10" ht="28.5" x14ac:dyDescent="0.25">
      <c r="A78" s="19" t="s">
        <v>243</v>
      </c>
      <c r="B78" s="19" t="s">
        <v>84</v>
      </c>
      <c r="C78" s="19" t="s">
        <v>244</v>
      </c>
      <c r="D78" s="20" t="s">
        <v>29</v>
      </c>
      <c r="E78" s="20" t="s">
        <v>168</v>
      </c>
      <c r="F78" s="20" t="s">
        <v>31</v>
      </c>
      <c r="G78" s="20" t="s">
        <v>168</v>
      </c>
      <c r="H78" s="20" t="s">
        <v>52</v>
      </c>
      <c r="I78" s="19" t="s">
        <v>53</v>
      </c>
      <c r="J78" s="21" t="s">
        <v>54</v>
      </c>
    </row>
    <row r="79" spans="1:10" ht="28.5" x14ac:dyDescent="0.25">
      <c r="A79" s="19" t="s">
        <v>245</v>
      </c>
      <c r="B79" s="19" t="s">
        <v>48</v>
      </c>
      <c r="C79" s="19" t="s">
        <v>244</v>
      </c>
      <c r="D79" s="20" t="s">
        <v>34</v>
      </c>
      <c r="E79" s="20" t="s">
        <v>168</v>
      </c>
      <c r="F79" s="20" t="s">
        <v>32</v>
      </c>
      <c r="G79" s="20" t="s">
        <v>168</v>
      </c>
      <c r="H79" s="20" t="s">
        <v>52</v>
      </c>
      <c r="I79" s="19" t="s">
        <v>53</v>
      </c>
      <c r="J79" s="21" t="s">
        <v>54</v>
      </c>
    </row>
    <row r="80" spans="1:10" ht="28.5" x14ac:dyDescent="0.25">
      <c r="A80" s="19" t="s">
        <v>246</v>
      </c>
      <c r="B80" s="19" t="s">
        <v>56</v>
      </c>
      <c r="C80" s="19" t="s">
        <v>244</v>
      </c>
      <c r="D80" s="20" t="s">
        <v>30</v>
      </c>
      <c r="E80" s="20" t="s">
        <v>247</v>
      </c>
      <c r="F80" s="20" t="s">
        <v>33</v>
      </c>
      <c r="G80" s="20" t="s">
        <v>168</v>
      </c>
      <c r="H80" s="20" t="s">
        <v>52</v>
      </c>
      <c r="I80" s="19" t="s">
        <v>53</v>
      </c>
      <c r="J80" s="21" t="s">
        <v>54</v>
      </c>
    </row>
    <row r="81" spans="1:10" ht="28.5" x14ac:dyDescent="0.25">
      <c r="A81" s="19" t="s">
        <v>248</v>
      </c>
      <c r="B81" s="19" t="s">
        <v>60</v>
      </c>
      <c r="C81" s="19" t="s">
        <v>244</v>
      </c>
      <c r="D81" s="20" t="s">
        <v>29</v>
      </c>
      <c r="E81" s="20" t="s">
        <v>168</v>
      </c>
      <c r="F81" s="20" t="s">
        <v>36</v>
      </c>
      <c r="G81" s="20" t="s">
        <v>168</v>
      </c>
      <c r="H81" s="20" t="s">
        <v>52</v>
      </c>
      <c r="I81" s="19" t="s">
        <v>53</v>
      </c>
      <c r="J81" s="21" t="s">
        <v>54</v>
      </c>
    </row>
    <row r="82" spans="1:10" ht="28.5" x14ac:dyDescent="0.25">
      <c r="A82" s="19" t="s">
        <v>249</v>
      </c>
      <c r="B82" s="19" t="s">
        <v>64</v>
      </c>
      <c r="C82" s="19" t="s">
        <v>244</v>
      </c>
      <c r="D82" s="20" t="s">
        <v>35</v>
      </c>
      <c r="E82" s="20" t="s">
        <v>168</v>
      </c>
      <c r="F82" s="20" t="s">
        <v>33</v>
      </c>
      <c r="G82" s="20" t="s">
        <v>168</v>
      </c>
      <c r="H82" s="20" t="s">
        <v>52</v>
      </c>
      <c r="I82" s="19" t="s">
        <v>53</v>
      </c>
      <c r="J82" s="21" t="s">
        <v>54</v>
      </c>
    </row>
    <row r="83" spans="1:10" x14ac:dyDescent="0.25">
      <c r="A83" s="22" t="s">
        <v>250</v>
      </c>
      <c r="B83" s="22" t="s">
        <v>68</v>
      </c>
      <c r="C83" s="22" t="s">
        <v>244</v>
      </c>
      <c r="D83" s="23" t="s">
        <v>69</v>
      </c>
      <c r="E83" s="23" t="s">
        <v>70</v>
      </c>
      <c r="F83" s="23" t="s">
        <v>71</v>
      </c>
      <c r="G83" s="23" t="s">
        <v>72</v>
      </c>
      <c r="H83" s="23" t="s">
        <v>73</v>
      </c>
      <c r="I83" s="22" t="s">
        <v>74</v>
      </c>
      <c r="J83" s="24" t="s">
        <v>54</v>
      </c>
    </row>
    <row r="84" spans="1:10" x14ac:dyDescent="0.25">
      <c r="A84" s="25" t="s">
        <v>251</v>
      </c>
      <c r="B84" s="25" t="s">
        <v>76</v>
      </c>
      <c r="C84" s="25" t="s">
        <v>244</v>
      </c>
      <c r="D84" s="26" t="s">
        <v>77</v>
      </c>
      <c r="E84" s="26" t="s">
        <v>78</v>
      </c>
      <c r="F84" s="26" t="s">
        <v>79</v>
      </c>
      <c r="G84" s="26" t="s">
        <v>80</v>
      </c>
      <c r="H84" s="26" t="s">
        <v>81</v>
      </c>
      <c r="I84" s="25" t="s">
        <v>82</v>
      </c>
      <c r="J84" s="27" t="s">
        <v>54</v>
      </c>
    </row>
    <row r="85" spans="1:10" ht="28.5" x14ac:dyDescent="0.25">
      <c r="A85" s="19" t="s">
        <v>252</v>
      </c>
      <c r="B85" s="19" t="s">
        <v>84</v>
      </c>
      <c r="C85" s="19" t="s">
        <v>253</v>
      </c>
      <c r="D85" s="20" t="s">
        <v>29</v>
      </c>
      <c r="E85" s="20" t="s">
        <v>168</v>
      </c>
      <c r="F85" s="20" t="s">
        <v>31</v>
      </c>
      <c r="G85" s="20" t="s">
        <v>168</v>
      </c>
      <c r="H85" s="20" t="s">
        <v>52</v>
      </c>
      <c r="I85" s="19" t="s">
        <v>53</v>
      </c>
      <c r="J85" s="21" t="s">
        <v>54</v>
      </c>
    </row>
    <row r="86" spans="1:10" ht="28.5" x14ac:dyDescent="0.25">
      <c r="A86" s="19" t="s">
        <v>254</v>
      </c>
      <c r="B86" s="19" t="s">
        <v>48</v>
      </c>
      <c r="C86" s="19" t="s">
        <v>253</v>
      </c>
      <c r="D86" s="20" t="s">
        <v>34</v>
      </c>
      <c r="E86" s="20" t="s">
        <v>168</v>
      </c>
      <c r="F86" s="20" t="s">
        <v>32</v>
      </c>
      <c r="G86" s="20" t="s">
        <v>168</v>
      </c>
      <c r="H86" s="20" t="s">
        <v>52</v>
      </c>
      <c r="I86" s="19" t="s">
        <v>53</v>
      </c>
      <c r="J86" s="21" t="s">
        <v>54</v>
      </c>
    </row>
    <row r="87" spans="1:10" ht="28.5" x14ac:dyDescent="0.25">
      <c r="A87" s="19" t="s">
        <v>255</v>
      </c>
      <c r="B87" s="19" t="s">
        <v>56</v>
      </c>
      <c r="C87" s="19" t="s">
        <v>253</v>
      </c>
      <c r="D87" s="20" t="s">
        <v>30</v>
      </c>
      <c r="E87" s="20" t="s">
        <v>168</v>
      </c>
      <c r="F87" s="20" t="s">
        <v>33</v>
      </c>
      <c r="G87" s="20" t="s">
        <v>168</v>
      </c>
      <c r="H87" s="20" t="s">
        <v>52</v>
      </c>
      <c r="I87" s="19" t="s">
        <v>53</v>
      </c>
      <c r="J87" s="21" t="s">
        <v>54</v>
      </c>
    </row>
    <row r="88" spans="1:10" ht="28.5" x14ac:dyDescent="0.25">
      <c r="A88" s="19" t="s">
        <v>256</v>
      </c>
      <c r="B88" s="19" t="s">
        <v>60</v>
      </c>
      <c r="C88" s="19" t="s">
        <v>253</v>
      </c>
      <c r="D88" s="20" t="s">
        <v>29</v>
      </c>
      <c r="E88" s="20" t="s">
        <v>168</v>
      </c>
      <c r="F88" s="20" t="s">
        <v>36</v>
      </c>
      <c r="G88" s="20" t="s">
        <v>168</v>
      </c>
      <c r="H88" s="20" t="s">
        <v>52</v>
      </c>
      <c r="I88" s="19" t="s">
        <v>53</v>
      </c>
      <c r="J88" s="21" t="s">
        <v>54</v>
      </c>
    </row>
    <row r="89" spans="1:10" ht="28.5" x14ac:dyDescent="0.25">
      <c r="A89" s="19" t="s">
        <v>257</v>
      </c>
      <c r="B89" s="19" t="s">
        <v>64</v>
      </c>
      <c r="C89" s="19" t="s">
        <v>253</v>
      </c>
      <c r="D89" s="20" t="s">
        <v>35</v>
      </c>
      <c r="E89" s="20" t="s">
        <v>168</v>
      </c>
      <c r="F89" s="20" t="s">
        <v>31</v>
      </c>
      <c r="G89" s="20" t="s">
        <v>168</v>
      </c>
      <c r="H89" s="20" t="s">
        <v>52</v>
      </c>
      <c r="I89" s="19" t="s">
        <v>53</v>
      </c>
      <c r="J89" s="21" t="s">
        <v>54</v>
      </c>
    </row>
    <row r="90" spans="1:10" x14ac:dyDescent="0.25">
      <c r="A90" s="22" t="s">
        <v>258</v>
      </c>
      <c r="B90" s="22" t="s">
        <v>68</v>
      </c>
      <c r="C90" s="22" t="s">
        <v>253</v>
      </c>
      <c r="D90" s="23" t="s">
        <v>69</v>
      </c>
      <c r="E90" s="23" t="s">
        <v>70</v>
      </c>
      <c r="F90" s="23" t="s">
        <v>71</v>
      </c>
      <c r="G90" s="23" t="s">
        <v>72</v>
      </c>
      <c r="H90" s="23" t="s">
        <v>73</v>
      </c>
      <c r="I90" s="22" t="s">
        <v>74</v>
      </c>
      <c r="J90" s="24" t="s">
        <v>54</v>
      </c>
    </row>
  </sheetData>
  <dataValidations count="1">
    <dataValidation type="list" sqref="J2:J90" xr:uid="{00000000-0002-0000-0200-000000000000}">
      <formula1>"A Estudar,Estudando,Revisado,Concluído"</formula1>
    </dataValidation>
  </dataValidations>
  <pageMargins left="0.25" right="0.25" top="0.75" bottom="0.75" header="0.3" footer="0.3"/>
  <pageSetup paperSize="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96"/>
  <sheetViews>
    <sheetView workbookViewId="0">
      <selection activeCell="H72" sqref="H72"/>
    </sheetView>
  </sheetViews>
  <sheetFormatPr defaultRowHeight="15" x14ac:dyDescent="0.25"/>
  <cols>
    <col min="1" max="1" width="25" customWidth="1"/>
    <col min="2" max="2" width="75" customWidth="1"/>
    <col min="3" max="4" width="15" customWidth="1"/>
    <col min="5" max="5" width="12" customWidth="1"/>
    <col min="6" max="6" width="15" customWidth="1"/>
    <col min="7" max="7" width="18" customWidth="1"/>
  </cols>
  <sheetData>
    <row r="1" spans="1:7" ht="33" x14ac:dyDescent="0.25">
      <c r="A1" s="18" t="s">
        <v>26</v>
      </c>
      <c r="B1" s="18" t="s">
        <v>259</v>
      </c>
      <c r="C1" s="18" t="s">
        <v>260</v>
      </c>
      <c r="D1" s="18" t="s">
        <v>27</v>
      </c>
      <c r="E1" s="18" t="s">
        <v>7</v>
      </c>
      <c r="F1" s="18" t="s">
        <v>261</v>
      </c>
      <c r="G1" s="18" t="s">
        <v>262</v>
      </c>
    </row>
    <row r="2" spans="1:7" x14ac:dyDescent="0.25">
      <c r="A2" s="49" t="s">
        <v>263</v>
      </c>
      <c r="B2" s="50"/>
      <c r="C2" s="50"/>
      <c r="D2" s="50"/>
      <c r="E2" s="50"/>
      <c r="F2" s="50"/>
      <c r="G2" s="50"/>
    </row>
    <row r="3" spans="1:7" ht="28.5" x14ac:dyDescent="0.25">
      <c r="A3" s="20" t="s">
        <v>29</v>
      </c>
      <c r="B3" s="20" t="s">
        <v>61</v>
      </c>
      <c r="C3" s="21" t="s">
        <v>264</v>
      </c>
      <c r="D3" s="19">
        <f>SUMIFS('Registro de Estudos'!F:F, 'Registro de Estudos'!B:B, A3, 'Registro de Estudos'!C:C, B3)</f>
        <v>20</v>
      </c>
      <c r="E3" s="19">
        <f>SUMIFS('Registro de Estudos'!G:G, 'Registro de Estudos'!B:B, A3, 'Registro de Estudos'!C:C, B3)</f>
        <v>18</v>
      </c>
      <c r="F3" s="28">
        <f t="shared" ref="F3:F22" si="0">IF(D3&gt;0, E3/D3, 0)</f>
        <v>0.9</v>
      </c>
      <c r="G3" s="29" t="str">
        <f t="shared" ref="G3:G22" si="1">IF(F3&gt;=0.8, "EXCELENTE", IF(F3&gt;=0.5, "REGULAR", "A REVISAR"))</f>
        <v>EXCELENTE</v>
      </c>
    </row>
    <row r="4" spans="1:7" ht="28.5" x14ac:dyDescent="0.25">
      <c r="A4" s="20" t="s">
        <v>29</v>
      </c>
      <c r="B4" s="20" t="s">
        <v>86</v>
      </c>
      <c r="C4" s="21" t="s">
        <v>264</v>
      </c>
      <c r="D4" s="19">
        <f>SUMIFS('Registro de Estudos'!F:F, 'Registro de Estudos'!B:B, A4, 'Registro de Estudos'!C:C, B4)</f>
        <v>0</v>
      </c>
      <c r="E4" s="19">
        <f>SUMIFS('Registro de Estudos'!G:G, 'Registro de Estudos'!B:B, A4, 'Registro de Estudos'!C:C, B4)</f>
        <v>0</v>
      </c>
      <c r="F4" s="28">
        <f t="shared" si="0"/>
        <v>0</v>
      </c>
      <c r="G4" s="29" t="str">
        <f t="shared" si="1"/>
        <v>A REVISAR</v>
      </c>
    </row>
    <row r="5" spans="1:7" x14ac:dyDescent="0.25">
      <c r="A5" s="20" t="s">
        <v>29</v>
      </c>
      <c r="B5" s="20" t="s">
        <v>95</v>
      </c>
      <c r="C5" s="21" t="s">
        <v>264</v>
      </c>
      <c r="D5" s="19">
        <f>SUMIFS('Registro de Estudos'!F:F, 'Registro de Estudos'!B:B, A5, 'Registro de Estudos'!C:C, B5)</f>
        <v>0</v>
      </c>
      <c r="E5" s="19">
        <f>SUMIFS('Registro de Estudos'!G:G, 'Registro de Estudos'!B:B, A5, 'Registro de Estudos'!C:C, B5)</f>
        <v>0</v>
      </c>
      <c r="F5" s="28">
        <f t="shared" si="0"/>
        <v>0</v>
      </c>
      <c r="G5" s="29" t="str">
        <f t="shared" si="1"/>
        <v>A REVISAR</v>
      </c>
    </row>
    <row r="6" spans="1:7" x14ac:dyDescent="0.25">
      <c r="A6" s="20" t="s">
        <v>29</v>
      </c>
      <c r="B6" s="20" t="s">
        <v>104</v>
      </c>
      <c r="C6" s="21" t="s">
        <v>264</v>
      </c>
      <c r="D6" s="19">
        <f>SUMIFS('Registro de Estudos'!F:F, 'Registro de Estudos'!B:B, A6, 'Registro de Estudos'!C:C, B6)</f>
        <v>0</v>
      </c>
      <c r="E6" s="19">
        <f>SUMIFS('Registro de Estudos'!G:G, 'Registro de Estudos'!B:B, A6, 'Registro de Estudos'!C:C, B6)</f>
        <v>0</v>
      </c>
      <c r="F6" s="28">
        <f t="shared" si="0"/>
        <v>0</v>
      </c>
      <c r="G6" s="29" t="str">
        <f t="shared" si="1"/>
        <v>A REVISAR</v>
      </c>
    </row>
    <row r="7" spans="1:7" x14ac:dyDescent="0.25">
      <c r="A7" s="20" t="s">
        <v>29</v>
      </c>
      <c r="B7" s="20" t="s">
        <v>113</v>
      </c>
      <c r="C7" s="21" t="s">
        <v>264</v>
      </c>
      <c r="D7" s="19">
        <f>SUMIFS('Registro de Estudos'!F:F, 'Registro de Estudos'!B:B, A7, 'Registro de Estudos'!C:C, B7)</f>
        <v>0</v>
      </c>
      <c r="E7" s="19">
        <f>SUMIFS('Registro de Estudos'!G:G, 'Registro de Estudos'!B:B, A7, 'Registro de Estudos'!C:C, B7)</f>
        <v>0</v>
      </c>
      <c r="F7" s="28">
        <f t="shared" si="0"/>
        <v>0</v>
      </c>
      <c r="G7" s="29" t="str">
        <f t="shared" si="1"/>
        <v>A REVISAR</v>
      </c>
    </row>
    <row r="8" spans="1:7" x14ac:dyDescent="0.25">
      <c r="A8" s="20" t="s">
        <v>29</v>
      </c>
      <c r="B8" s="20" t="s">
        <v>122</v>
      </c>
      <c r="C8" s="21" t="s">
        <v>264</v>
      </c>
      <c r="D8" s="19">
        <f>SUMIFS('Registro de Estudos'!F:F, 'Registro de Estudos'!B:B, A8, 'Registro de Estudos'!C:C, B8)</f>
        <v>0</v>
      </c>
      <c r="E8" s="19">
        <f>SUMIFS('Registro de Estudos'!G:G, 'Registro de Estudos'!B:B, A8, 'Registro de Estudos'!C:C, B8)</f>
        <v>0</v>
      </c>
      <c r="F8" s="28">
        <f t="shared" si="0"/>
        <v>0</v>
      </c>
      <c r="G8" s="29" t="str">
        <f t="shared" si="1"/>
        <v>A REVISAR</v>
      </c>
    </row>
    <row r="9" spans="1:7" ht="28.5" x14ac:dyDescent="0.25">
      <c r="A9" s="20" t="s">
        <v>29</v>
      </c>
      <c r="B9" s="20" t="s">
        <v>131</v>
      </c>
      <c r="C9" s="21" t="s">
        <v>264</v>
      </c>
      <c r="D9" s="19">
        <f>SUMIFS('Registro de Estudos'!F:F, 'Registro de Estudos'!B:B, A9, 'Registro de Estudos'!C:C, B9)</f>
        <v>0</v>
      </c>
      <c r="E9" s="19">
        <f>SUMIFS('Registro de Estudos'!G:G, 'Registro de Estudos'!B:B, A9, 'Registro de Estudos'!C:C, B9)</f>
        <v>0</v>
      </c>
      <c r="F9" s="28">
        <f t="shared" si="0"/>
        <v>0</v>
      </c>
      <c r="G9" s="29" t="str">
        <f t="shared" si="1"/>
        <v>A REVISAR</v>
      </c>
    </row>
    <row r="10" spans="1:7" x14ac:dyDescent="0.25">
      <c r="A10" s="20" t="s">
        <v>29</v>
      </c>
      <c r="B10" s="20" t="s">
        <v>140</v>
      </c>
      <c r="C10" s="21" t="s">
        <v>264</v>
      </c>
      <c r="D10" s="19">
        <f>SUMIFS('Registro de Estudos'!F:F, 'Registro de Estudos'!B:B, A10, 'Registro de Estudos'!C:C, B10)</f>
        <v>0</v>
      </c>
      <c r="E10" s="19">
        <f>SUMIFS('Registro de Estudos'!G:G, 'Registro de Estudos'!B:B, A10, 'Registro de Estudos'!C:C, B10)</f>
        <v>0</v>
      </c>
      <c r="F10" s="28">
        <f t="shared" si="0"/>
        <v>0</v>
      </c>
      <c r="G10" s="29" t="str">
        <f t="shared" si="1"/>
        <v>A REVISAR</v>
      </c>
    </row>
    <row r="11" spans="1:7" x14ac:dyDescent="0.25">
      <c r="A11" s="20" t="s">
        <v>29</v>
      </c>
      <c r="B11" s="20" t="s">
        <v>149</v>
      </c>
      <c r="C11" s="21" t="s">
        <v>264</v>
      </c>
      <c r="D11" s="19">
        <f>SUMIFS('Registro de Estudos'!F:F, 'Registro de Estudos'!B:B, A11, 'Registro de Estudos'!C:C, B11)</f>
        <v>0</v>
      </c>
      <c r="E11" s="19">
        <f>SUMIFS('Registro de Estudos'!G:G, 'Registro de Estudos'!B:B, A11, 'Registro de Estudos'!C:C, B11)</f>
        <v>0</v>
      </c>
      <c r="F11" s="28">
        <f t="shared" si="0"/>
        <v>0</v>
      </c>
      <c r="G11" s="29" t="str">
        <f t="shared" si="1"/>
        <v>A REVISAR</v>
      </c>
    </row>
    <row r="12" spans="1:7" x14ac:dyDescent="0.25">
      <c r="A12" s="20" t="s">
        <v>29</v>
      </c>
      <c r="B12" s="20" t="s">
        <v>158</v>
      </c>
      <c r="C12" s="21" t="s">
        <v>264</v>
      </c>
      <c r="D12" s="19">
        <f>SUMIFS('Registro de Estudos'!F:F, 'Registro de Estudos'!B:B, A12, 'Registro de Estudos'!C:C, B12)</f>
        <v>0</v>
      </c>
      <c r="E12" s="19">
        <f>SUMIFS('Registro de Estudos'!G:G, 'Registro de Estudos'!B:B, A12, 'Registro de Estudos'!C:C, B12)</f>
        <v>0</v>
      </c>
      <c r="F12" s="28">
        <f t="shared" si="0"/>
        <v>0</v>
      </c>
      <c r="G12" s="29" t="str">
        <f t="shared" si="1"/>
        <v>A REVISAR</v>
      </c>
    </row>
    <row r="13" spans="1:7" x14ac:dyDescent="0.25">
      <c r="A13" s="20" t="s">
        <v>29</v>
      </c>
      <c r="B13" s="20" t="s">
        <v>167</v>
      </c>
      <c r="C13" s="21" t="s">
        <v>264</v>
      </c>
      <c r="D13" s="19">
        <f>SUMIFS('Registro de Estudos'!F:F, 'Registro de Estudos'!B:B, A13, 'Registro de Estudos'!C:C, B13)</f>
        <v>0</v>
      </c>
      <c r="E13" s="19">
        <f>SUMIFS('Registro de Estudos'!G:G, 'Registro de Estudos'!B:B, A13, 'Registro de Estudos'!C:C, B13)</f>
        <v>0</v>
      </c>
      <c r="F13" s="28">
        <f t="shared" si="0"/>
        <v>0</v>
      </c>
      <c r="G13" s="29" t="str">
        <f t="shared" si="1"/>
        <v>A REVISAR</v>
      </c>
    </row>
    <row r="14" spans="1:7" x14ac:dyDescent="0.25">
      <c r="A14" s="20" t="s">
        <v>29</v>
      </c>
      <c r="B14" s="20" t="s">
        <v>175</v>
      </c>
      <c r="C14" s="21" t="s">
        <v>264</v>
      </c>
      <c r="D14" s="19">
        <f>SUMIFS('Registro de Estudos'!F:F, 'Registro de Estudos'!B:B, A14, 'Registro de Estudos'!C:C, B14)</f>
        <v>0</v>
      </c>
      <c r="E14" s="19">
        <f>SUMIFS('Registro de Estudos'!G:G, 'Registro de Estudos'!B:B, A14, 'Registro de Estudos'!C:C, B14)</f>
        <v>0</v>
      </c>
      <c r="F14" s="28">
        <f t="shared" si="0"/>
        <v>0</v>
      </c>
      <c r="G14" s="29" t="str">
        <f t="shared" si="1"/>
        <v>A REVISAR</v>
      </c>
    </row>
    <row r="15" spans="1:7" x14ac:dyDescent="0.25">
      <c r="A15" s="20" t="s">
        <v>29</v>
      </c>
      <c r="B15" s="20" t="s">
        <v>184</v>
      </c>
      <c r="C15" s="21" t="s">
        <v>264</v>
      </c>
      <c r="D15" s="19">
        <f>SUMIFS('Registro de Estudos'!F:F, 'Registro de Estudos'!B:B, A15, 'Registro de Estudos'!C:C, B15)</f>
        <v>0</v>
      </c>
      <c r="E15" s="19">
        <f>SUMIFS('Registro de Estudos'!G:G, 'Registro de Estudos'!B:B, A15, 'Registro de Estudos'!C:C, B15)</f>
        <v>0</v>
      </c>
      <c r="F15" s="28">
        <f t="shared" si="0"/>
        <v>0</v>
      </c>
      <c r="G15" s="29" t="str">
        <f t="shared" si="1"/>
        <v>A REVISAR</v>
      </c>
    </row>
    <row r="16" spans="1:7" x14ac:dyDescent="0.25">
      <c r="A16" s="20" t="s">
        <v>29</v>
      </c>
      <c r="B16" s="20" t="s">
        <v>191</v>
      </c>
      <c r="C16" s="21" t="s">
        <v>264</v>
      </c>
      <c r="D16" s="19">
        <f>SUMIFS('Registro de Estudos'!F:F, 'Registro de Estudos'!B:B, A16, 'Registro de Estudos'!C:C, B16)</f>
        <v>0</v>
      </c>
      <c r="E16" s="19">
        <f>SUMIFS('Registro de Estudos'!G:G, 'Registro de Estudos'!B:B, A16, 'Registro de Estudos'!C:C, B16)</f>
        <v>0</v>
      </c>
      <c r="F16" s="28">
        <f t="shared" si="0"/>
        <v>0</v>
      </c>
      <c r="G16" s="29" t="str">
        <f t="shared" si="1"/>
        <v>A REVISAR</v>
      </c>
    </row>
    <row r="17" spans="1:7" x14ac:dyDescent="0.25">
      <c r="A17" s="20" t="s">
        <v>29</v>
      </c>
      <c r="B17" s="20" t="s">
        <v>200</v>
      </c>
      <c r="C17" s="21" t="s">
        <v>264</v>
      </c>
      <c r="D17" s="19">
        <f>SUMIFS('Registro de Estudos'!F:F, 'Registro de Estudos'!B:B, A17, 'Registro de Estudos'!C:C, B17)</f>
        <v>0</v>
      </c>
      <c r="E17" s="19">
        <f>SUMIFS('Registro de Estudos'!G:G, 'Registro de Estudos'!B:B, A17, 'Registro de Estudos'!C:C, B17)</f>
        <v>0</v>
      </c>
      <c r="F17" s="28">
        <f t="shared" si="0"/>
        <v>0</v>
      </c>
      <c r="G17" s="29" t="str">
        <f t="shared" si="1"/>
        <v>A REVISAR</v>
      </c>
    </row>
    <row r="18" spans="1:7" x14ac:dyDescent="0.25">
      <c r="A18" s="20" t="s">
        <v>29</v>
      </c>
      <c r="B18" s="20" t="s">
        <v>207</v>
      </c>
      <c r="C18" s="21" t="s">
        <v>264</v>
      </c>
      <c r="D18" s="19">
        <f>SUMIFS('Registro de Estudos'!F:F, 'Registro de Estudos'!B:B, A18, 'Registro de Estudos'!C:C, B18)</f>
        <v>0</v>
      </c>
      <c r="E18" s="19">
        <f>SUMIFS('Registro de Estudos'!G:G, 'Registro de Estudos'!B:B, A18, 'Registro de Estudos'!C:C, B18)</f>
        <v>0</v>
      </c>
      <c r="F18" s="28">
        <f t="shared" si="0"/>
        <v>0</v>
      </c>
      <c r="G18" s="29" t="str">
        <f t="shared" si="1"/>
        <v>A REVISAR</v>
      </c>
    </row>
    <row r="19" spans="1:7" x14ac:dyDescent="0.25">
      <c r="A19" s="20" t="s">
        <v>29</v>
      </c>
      <c r="B19" s="20" t="s">
        <v>215</v>
      </c>
      <c r="C19" s="21" t="s">
        <v>264</v>
      </c>
      <c r="D19" s="19">
        <f>SUMIFS('Registro de Estudos'!F:F, 'Registro de Estudos'!B:B, A19, 'Registro de Estudos'!C:C, B19)</f>
        <v>0</v>
      </c>
      <c r="E19" s="19">
        <f>SUMIFS('Registro de Estudos'!G:G, 'Registro de Estudos'!B:B, A19, 'Registro de Estudos'!C:C, B19)</f>
        <v>0</v>
      </c>
      <c r="F19" s="28">
        <f t="shared" si="0"/>
        <v>0</v>
      </c>
      <c r="G19" s="29" t="str">
        <f t="shared" si="1"/>
        <v>A REVISAR</v>
      </c>
    </row>
    <row r="20" spans="1:7" x14ac:dyDescent="0.25">
      <c r="A20" s="20" t="s">
        <v>29</v>
      </c>
      <c r="B20" s="20" t="s">
        <v>221</v>
      </c>
      <c r="C20" s="21" t="s">
        <v>264</v>
      </c>
      <c r="D20" s="19">
        <f>SUMIFS('Registro de Estudos'!F:F, 'Registro de Estudos'!B:B, A20, 'Registro de Estudos'!C:C, B20)</f>
        <v>0</v>
      </c>
      <c r="E20" s="19">
        <f>SUMIFS('Registro de Estudos'!G:G, 'Registro de Estudos'!B:B, A20, 'Registro de Estudos'!C:C, B20)</f>
        <v>0</v>
      </c>
      <c r="F20" s="28">
        <f t="shared" si="0"/>
        <v>0</v>
      </c>
      <c r="G20" s="29" t="str">
        <f t="shared" si="1"/>
        <v>A REVISAR</v>
      </c>
    </row>
    <row r="21" spans="1:7" x14ac:dyDescent="0.25">
      <c r="A21" s="20" t="s">
        <v>29</v>
      </c>
      <c r="B21" s="20" t="s">
        <v>228</v>
      </c>
      <c r="C21" s="21" t="s">
        <v>264</v>
      </c>
      <c r="D21" s="19">
        <f>SUMIFS('Registro de Estudos'!F:F, 'Registro de Estudos'!B:B, A21, 'Registro de Estudos'!C:C, B21)</f>
        <v>0</v>
      </c>
      <c r="E21" s="19">
        <f>SUMIFS('Registro de Estudos'!G:G, 'Registro de Estudos'!B:B, A21, 'Registro de Estudos'!C:C, B21)</f>
        <v>0</v>
      </c>
      <c r="F21" s="28">
        <f t="shared" si="0"/>
        <v>0</v>
      </c>
      <c r="G21" s="29" t="str">
        <f t="shared" si="1"/>
        <v>A REVISAR</v>
      </c>
    </row>
    <row r="22" spans="1:7" ht="28.5" x14ac:dyDescent="0.25">
      <c r="A22" s="20" t="s">
        <v>29</v>
      </c>
      <c r="B22" s="20" t="s">
        <v>235</v>
      </c>
      <c r="C22" s="21" t="s">
        <v>264</v>
      </c>
      <c r="D22" s="19">
        <f>SUMIFS('Registro de Estudos'!F:F, 'Registro de Estudos'!B:B, A22, 'Registro de Estudos'!C:C, B22)</f>
        <v>0</v>
      </c>
      <c r="E22" s="19">
        <f>SUMIFS('Registro de Estudos'!G:G, 'Registro de Estudos'!B:B, A22, 'Registro de Estudos'!C:C, B22)</f>
        <v>0</v>
      </c>
      <c r="F22" s="28">
        <f t="shared" si="0"/>
        <v>0</v>
      </c>
      <c r="G22" s="29" t="str">
        <f t="shared" si="1"/>
        <v>A REVISAR</v>
      </c>
    </row>
    <row r="23" spans="1:7" x14ac:dyDescent="0.25">
      <c r="A23" s="49" t="s">
        <v>265</v>
      </c>
      <c r="B23" s="50"/>
      <c r="C23" s="50"/>
      <c r="D23" s="50"/>
      <c r="E23" s="50"/>
      <c r="F23" s="50"/>
      <c r="G23" s="50"/>
    </row>
    <row r="24" spans="1:7" x14ac:dyDescent="0.25">
      <c r="A24" s="20" t="s">
        <v>30</v>
      </c>
      <c r="B24" s="20" t="s">
        <v>57</v>
      </c>
      <c r="C24" s="21" t="s">
        <v>264</v>
      </c>
      <c r="D24" s="19">
        <f>SUMIFS('Registro de Estudos'!F:F, 'Registro de Estudos'!B:B, A24, 'Registro de Estudos'!C:C, B24)</f>
        <v>0</v>
      </c>
      <c r="E24" s="19">
        <f>SUMIFS('Registro de Estudos'!G:G, 'Registro de Estudos'!B:B, A24, 'Registro de Estudos'!C:C, B24)</f>
        <v>0</v>
      </c>
      <c r="F24" s="28">
        <f t="shared" ref="F24:F35" si="2">IF(D24&gt;0, E24/D24, 0)</f>
        <v>0</v>
      </c>
      <c r="G24" s="29" t="str">
        <f t="shared" ref="G24:G35" si="3">IF(F24&gt;=0.8, "EXCELENTE", IF(F24&gt;=0.5, "REGULAR", "A REVISAR"))</f>
        <v>A REVISAR</v>
      </c>
    </row>
    <row r="25" spans="1:7" x14ac:dyDescent="0.25">
      <c r="A25" s="20" t="s">
        <v>30</v>
      </c>
      <c r="B25" s="20" t="s">
        <v>92</v>
      </c>
      <c r="C25" s="21" t="s">
        <v>264</v>
      </c>
      <c r="D25" s="19">
        <f>SUMIFS('Registro de Estudos'!F:F, 'Registro de Estudos'!B:B, A25, 'Registro de Estudos'!C:C, B25)</f>
        <v>0</v>
      </c>
      <c r="E25" s="19">
        <f>SUMIFS('Registro de Estudos'!G:G, 'Registro de Estudos'!B:B, A25, 'Registro de Estudos'!C:C, B25)</f>
        <v>0</v>
      </c>
      <c r="F25" s="28">
        <f t="shared" si="2"/>
        <v>0</v>
      </c>
      <c r="G25" s="29" t="str">
        <f t="shared" si="3"/>
        <v>A REVISAR</v>
      </c>
    </row>
    <row r="26" spans="1:7" x14ac:dyDescent="0.25">
      <c r="A26" s="20" t="s">
        <v>30</v>
      </c>
      <c r="B26" s="20" t="s">
        <v>110</v>
      </c>
      <c r="C26" s="21" t="s">
        <v>264</v>
      </c>
      <c r="D26" s="19">
        <f>SUMIFS('Registro de Estudos'!F:F, 'Registro de Estudos'!B:B, A26, 'Registro de Estudos'!C:C, B26)</f>
        <v>0</v>
      </c>
      <c r="E26" s="19">
        <f>SUMIFS('Registro de Estudos'!G:G, 'Registro de Estudos'!B:B, A26, 'Registro de Estudos'!C:C, B26)</f>
        <v>0</v>
      </c>
      <c r="F26" s="28">
        <f t="shared" si="2"/>
        <v>0</v>
      </c>
      <c r="G26" s="29" t="str">
        <f t="shared" si="3"/>
        <v>A REVISAR</v>
      </c>
    </row>
    <row r="27" spans="1:7" x14ac:dyDescent="0.25">
      <c r="A27" s="20" t="s">
        <v>30</v>
      </c>
      <c r="B27" s="20" t="s">
        <v>128</v>
      </c>
      <c r="C27" s="21" t="s">
        <v>264</v>
      </c>
      <c r="D27" s="19">
        <f>SUMIFS('Registro de Estudos'!F:F, 'Registro de Estudos'!B:B, A27, 'Registro de Estudos'!C:C, B27)</f>
        <v>0</v>
      </c>
      <c r="E27" s="19">
        <f>SUMIFS('Registro de Estudos'!G:G, 'Registro de Estudos'!B:B, A27, 'Registro de Estudos'!C:C, B27)</f>
        <v>0</v>
      </c>
      <c r="F27" s="28">
        <f t="shared" si="2"/>
        <v>0</v>
      </c>
      <c r="G27" s="29" t="str">
        <f t="shared" si="3"/>
        <v>A REVISAR</v>
      </c>
    </row>
    <row r="28" spans="1:7" x14ac:dyDescent="0.25">
      <c r="A28" s="20" t="s">
        <v>30</v>
      </c>
      <c r="B28" s="20" t="s">
        <v>146</v>
      </c>
      <c r="C28" s="21" t="s">
        <v>264</v>
      </c>
      <c r="D28" s="19">
        <f>SUMIFS('Registro de Estudos'!F:F, 'Registro de Estudos'!B:B, A28, 'Registro de Estudos'!C:C, B28)</f>
        <v>0</v>
      </c>
      <c r="E28" s="19">
        <f>SUMIFS('Registro de Estudos'!G:G, 'Registro de Estudos'!B:B, A28, 'Registro de Estudos'!C:C, B28)</f>
        <v>0</v>
      </c>
      <c r="F28" s="28">
        <f t="shared" si="2"/>
        <v>0</v>
      </c>
      <c r="G28" s="29" t="str">
        <f t="shared" si="3"/>
        <v>A REVISAR</v>
      </c>
    </row>
    <row r="29" spans="1:7" x14ac:dyDescent="0.25">
      <c r="A29" s="20" t="s">
        <v>30</v>
      </c>
      <c r="B29" s="20" t="s">
        <v>164</v>
      </c>
      <c r="C29" s="21" t="s">
        <v>264</v>
      </c>
      <c r="D29" s="19">
        <f>SUMIFS('Registro de Estudos'!F:F, 'Registro de Estudos'!B:B, A29, 'Registro de Estudos'!C:C, B29)</f>
        <v>0</v>
      </c>
      <c r="E29" s="19">
        <f>SUMIFS('Registro de Estudos'!G:G, 'Registro de Estudos'!B:B, A29, 'Registro de Estudos'!C:C, B29)</f>
        <v>0</v>
      </c>
      <c r="F29" s="28">
        <f t="shared" si="2"/>
        <v>0</v>
      </c>
      <c r="G29" s="29" t="str">
        <f t="shared" si="3"/>
        <v>A REVISAR</v>
      </c>
    </row>
    <row r="30" spans="1:7" x14ac:dyDescent="0.25">
      <c r="A30" s="20" t="s">
        <v>30</v>
      </c>
      <c r="B30" s="20" t="s">
        <v>181</v>
      </c>
      <c r="C30" s="21" t="s">
        <v>264</v>
      </c>
      <c r="D30" s="19">
        <f>SUMIFS('Registro de Estudos'!F:F, 'Registro de Estudos'!B:B, A30, 'Registro de Estudos'!C:C, B30)</f>
        <v>0</v>
      </c>
      <c r="E30" s="19">
        <f>SUMIFS('Registro de Estudos'!G:G, 'Registro de Estudos'!B:B, A30, 'Registro de Estudos'!C:C, B30)</f>
        <v>0</v>
      </c>
      <c r="F30" s="28">
        <f t="shared" si="2"/>
        <v>0</v>
      </c>
      <c r="G30" s="29" t="str">
        <f t="shared" si="3"/>
        <v>A REVISAR</v>
      </c>
    </row>
    <row r="31" spans="1:7" x14ac:dyDescent="0.25">
      <c r="A31" s="20" t="s">
        <v>30</v>
      </c>
      <c r="B31" s="20" t="s">
        <v>197</v>
      </c>
      <c r="C31" s="21" t="s">
        <v>264</v>
      </c>
      <c r="D31" s="19">
        <f>SUMIFS('Registro de Estudos'!F:F, 'Registro de Estudos'!B:B, A31, 'Registro de Estudos'!C:C, B31)</f>
        <v>0</v>
      </c>
      <c r="E31" s="19">
        <f>SUMIFS('Registro de Estudos'!G:G, 'Registro de Estudos'!B:B, A31, 'Registro de Estudos'!C:C, B31)</f>
        <v>0</v>
      </c>
      <c r="F31" s="28">
        <f t="shared" si="2"/>
        <v>0</v>
      </c>
      <c r="G31" s="29" t="str">
        <f t="shared" si="3"/>
        <v>A REVISAR</v>
      </c>
    </row>
    <row r="32" spans="1:7" x14ac:dyDescent="0.25">
      <c r="A32" s="20" t="s">
        <v>30</v>
      </c>
      <c r="B32" s="20" t="s">
        <v>212</v>
      </c>
      <c r="C32" s="21" t="s">
        <v>264</v>
      </c>
      <c r="D32" s="19">
        <f>SUMIFS('Registro de Estudos'!F:F, 'Registro de Estudos'!B:B, A32, 'Registro de Estudos'!C:C, B32)</f>
        <v>0</v>
      </c>
      <c r="E32" s="19">
        <f>SUMIFS('Registro de Estudos'!G:G, 'Registro de Estudos'!B:B, A32, 'Registro de Estudos'!C:C, B32)</f>
        <v>0</v>
      </c>
      <c r="F32" s="28">
        <f t="shared" si="2"/>
        <v>0</v>
      </c>
      <c r="G32" s="29" t="str">
        <f t="shared" si="3"/>
        <v>A REVISAR</v>
      </c>
    </row>
    <row r="33" spans="1:7" x14ac:dyDescent="0.25">
      <c r="A33" s="20" t="s">
        <v>30</v>
      </c>
      <c r="B33" s="20" t="s">
        <v>225</v>
      </c>
      <c r="C33" s="21" t="s">
        <v>264</v>
      </c>
      <c r="D33" s="19">
        <f>SUMIFS('Registro de Estudos'!F:F, 'Registro de Estudos'!B:B, A33, 'Registro de Estudos'!C:C, B33)</f>
        <v>0</v>
      </c>
      <c r="E33" s="19">
        <f>SUMIFS('Registro de Estudos'!G:G, 'Registro de Estudos'!B:B, A33, 'Registro de Estudos'!C:C, B33)</f>
        <v>0</v>
      </c>
      <c r="F33" s="28">
        <f t="shared" si="2"/>
        <v>0</v>
      </c>
      <c r="G33" s="29" t="str">
        <f t="shared" si="3"/>
        <v>A REVISAR</v>
      </c>
    </row>
    <row r="34" spans="1:7" x14ac:dyDescent="0.25">
      <c r="A34" s="20" t="s">
        <v>30</v>
      </c>
      <c r="B34" s="20" t="s">
        <v>238</v>
      </c>
      <c r="C34" s="21" t="s">
        <v>264</v>
      </c>
      <c r="D34" s="19">
        <f>SUMIFS('Registro de Estudos'!F:F, 'Registro de Estudos'!B:B, A34, 'Registro de Estudos'!C:C, B34)</f>
        <v>0</v>
      </c>
      <c r="E34" s="19">
        <f>SUMIFS('Registro de Estudos'!G:G, 'Registro de Estudos'!B:B, A34, 'Registro de Estudos'!C:C, B34)</f>
        <v>0</v>
      </c>
      <c r="F34" s="28">
        <f t="shared" si="2"/>
        <v>0</v>
      </c>
      <c r="G34" s="29" t="str">
        <f t="shared" si="3"/>
        <v>A REVISAR</v>
      </c>
    </row>
    <row r="35" spans="1:7" ht="28.5" x14ac:dyDescent="0.25">
      <c r="A35" s="20" t="s">
        <v>30</v>
      </c>
      <c r="B35" s="20" t="s">
        <v>247</v>
      </c>
      <c r="C35" s="21" t="s">
        <v>264</v>
      </c>
      <c r="D35" s="19">
        <f>SUMIFS('Registro de Estudos'!F:F, 'Registro de Estudos'!B:B, A35, 'Registro de Estudos'!C:C, B35)</f>
        <v>0</v>
      </c>
      <c r="E35" s="19">
        <f>SUMIFS('Registro de Estudos'!G:G, 'Registro de Estudos'!B:B, A35, 'Registro de Estudos'!C:C, B35)</f>
        <v>0</v>
      </c>
      <c r="F35" s="28">
        <f t="shared" si="2"/>
        <v>0</v>
      </c>
      <c r="G35" s="29" t="str">
        <f t="shared" si="3"/>
        <v>A REVISAR</v>
      </c>
    </row>
    <row r="36" spans="1:7" x14ac:dyDescent="0.25">
      <c r="A36" s="49" t="s">
        <v>266</v>
      </c>
      <c r="B36" s="50"/>
      <c r="C36" s="50"/>
      <c r="D36" s="50"/>
      <c r="E36" s="50"/>
      <c r="F36" s="50"/>
      <c r="G36" s="50"/>
    </row>
    <row r="37" spans="1:7" x14ac:dyDescent="0.25">
      <c r="A37" s="20" t="s">
        <v>31</v>
      </c>
      <c r="B37" s="20" t="s">
        <v>66</v>
      </c>
      <c r="C37" s="21" t="s">
        <v>264</v>
      </c>
      <c r="D37" s="19">
        <f>SUMIFS('Registro de Estudos'!F:F, 'Registro de Estudos'!B:B, A37, 'Registro de Estudos'!C:C, B37)</f>
        <v>0</v>
      </c>
      <c r="E37" s="19">
        <f>SUMIFS('Registro de Estudos'!G:G, 'Registro de Estudos'!B:B, A37, 'Registro de Estudos'!C:C, B37)</f>
        <v>0</v>
      </c>
      <c r="F37" s="28">
        <f t="shared" ref="F37:F48" si="4">IF(D37&gt;0, E37/D37, 0)</f>
        <v>0</v>
      </c>
      <c r="G37" s="29" t="str">
        <f t="shared" ref="G37:G48" si="5">IF(F37&gt;=0.8, "EXCELENTE", IF(F37&gt;=0.5, "REGULAR", "A REVISAR"))</f>
        <v>A REVISAR</v>
      </c>
    </row>
    <row r="38" spans="1:7" x14ac:dyDescent="0.25">
      <c r="A38" s="20" t="s">
        <v>31</v>
      </c>
      <c r="B38" s="20" t="s">
        <v>87</v>
      </c>
      <c r="C38" s="21" t="s">
        <v>264</v>
      </c>
      <c r="D38" s="19">
        <f>SUMIFS('Registro de Estudos'!F:F, 'Registro de Estudos'!B:B, A38, 'Registro de Estudos'!C:C, B38)</f>
        <v>0</v>
      </c>
      <c r="E38" s="19">
        <f>SUMIFS('Registro de Estudos'!G:G, 'Registro de Estudos'!B:B, A38, 'Registro de Estudos'!C:C, B38)</f>
        <v>0</v>
      </c>
      <c r="F38" s="28">
        <f t="shared" si="4"/>
        <v>0</v>
      </c>
      <c r="G38" s="29" t="str">
        <f t="shared" si="5"/>
        <v>A REVISAR</v>
      </c>
    </row>
    <row r="39" spans="1:7" x14ac:dyDescent="0.25">
      <c r="A39" s="20" t="s">
        <v>31</v>
      </c>
      <c r="B39" s="20" t="s">
        <v>105</v>
      </c>
      <c r="C39" s="21" t="s">
        <v>264</v>
      </c>
      <c r="D39" s="19">
        <f>SUMIFS('Registro de Estudos'!F:F, 'Registro de Estudos'!B:B, A39, 'Registro de Estudos'!C:C, B39)</f>
        <v>0</v>
      </c>
      <c r="E39" s="19">
        <f>SUMIFS('Registro de Estudos'!G:G, 'Registro de Estudos'!B:B, A39, 'Registro de Estudos'!C:C, B39)</f>
        <v>0</v>
      </c>
      <c r="F39" s="28">
        <f t="shared" si="4"/>
        <v>0</v>
      </c>
      <c r="G39" s="29" t="str">
        <f t="shared" si="5"/>
        <v>A REVISAR</v>
      </c>
    </row>
    <row r="40" spans="1:7" x14ac:dyDescent="0.25">
      <c r="A40" s="20" t="s">
        <v>31</v>
      </c>
      <c r="B40" s="20" t="s">
        <v>117</v>
      </c>
      <c r="C40" s="21" t="s">
        <v>264</v>
      </c>
      <c r="D40" s="19">
        <f>SUMIFS('Registro de Estudos'!F:F, 'Registro de Estudos'!B:B, A40, 'Registro de Estudos'!C:C, B40)</f>
        <v>0</v>
      </c>
      <c r="E40" s="19">
        <f>SUMIFS('Registro de Estudos'!G:G, 'Registro de Estudos'!B:B, A40, 'Registro de Estudos'!C:C, B40)</f>
        <v>0</v>
      </c>
      <c r="F40" s="28">
        <f t="shared" si="4"/>
        <v>0</v>
      </c>
      <c r="G40" s="29" t="str">
        <f t="shared" si="5"/>
        <v>A REVISAR</v>
      </c>
    </row>
    <row r="41" spans="1:7" ht="28.5" x14ac:dyDescent="0.25">
      <c r="A41" s="20" t="s">
        <v>31</v>
      </c>
      <c r="B41" s="20" t="s">
        <v>123</v>
      </c>
      <c r="C41" s="21" t="s">
        <v>264</v>
      </c>
      <c r="D41" s="19">
        <f>SUMIFS('Registro de Estudos'!F:F, 'Registro de Estudos'!B:B, A41, 'Registro de Estudos'!C:C, B41)</f>
        <v>0</v>
      </c>
      <c r="E41" s="19">
        <f>SUMIFS('Registro de Estudos'!G:G, 'Registro de Estudos'!B:B, A41, 'Registro de Estudos'!C:C, B41)</f>
        <v>0</v>
      </c>
      <c r="F41" s="28">
        <f t="shared" si="4"/>
        <v>0</v>
      </c>
      <c r="G41" s="29" t="str">
        <f t="shared" si="5"/>
        <v>A REVISAR</v>
      </c>
    </row>
    <row r="42" spans="1:7" x14ac:dyDescent="0.25">
      <c r="A42" s="20" t="s">
        <v>31</v>
      </c>
      <c r="B42" s="20" t="s">
        <v>141</v>
      </c>
      <c r="C42" s="21" t="s">
        <v>264</v>
      </c>
      <c r="D42" s="19">
        <f>SUMIFS('Registro de Estudos'!F:F, 'Registro de Estudos'!B:B, A42, 'Registro de Estudos'!C:C, B42)</f>
        <v>0</v>
      </c>
      <c r="E42" s="19">
        <f>SUMIFS('Registro de Estudos'!G:G, 'Registro de Estudos'!B:B, A42, 'Registro de Estudos'!C:C, B42)</f>
        <v>0</v>
      </c>
      <c r="F42" s="28">
        <f t="shared" si="4"/>
        <v>0</v>
      </c>
      <c r="G42" s="29" t="str">
        <f t="shared" si="5"/>
        <v>A REVISAR</v>
      </c>
    </row>
    <row r="43" spans="1:7" x14ac:dyDescent="0.25">
      <c r="A43" s="20" t="s">
        <v>31</v>
      </c>
      <c r="B43" s="20" t="s">
        <v>153</v>
      </c>
      <c r="C43" s="21" t="s">
        <v>264</v>
      </c>
      <c r="D43" s="19">
        <f>SUMIFS('Registro de Estudos'!F:F, 'Registro de Estudos'!B:B, A43, 'Registro de Estudos'!C:C, B43)</f>
        <v>0</v>
      </c>
      <c r="E43" s="19">
        <f>SUMIFS('Registro de Estudos'!G:G, 'Registro de Estudos'!B:B, A43, 'Registro de Estudos'!C:C, B43)</f>
        <v>0</v>
      </c>
      <c r="F43" s="28">
        <f t="shared" si="4"/>
        <v>0</v>
      </c>
      <c r="G43" s="29" t="str">
        <f t="shared" si="5"/>
        <v>A REVISAR</v>
      </c>
    </row>
    <row r="44" spans="1:7" x14ac:dyDescent="0.25">
      <c r="A44" s="20" t="s">
        <v>31</v>
      </c>
      <c r="B44" s="20" t="s">
        <v>159</v>
      </c>
      <c r="C44" s="21" t="s">
        <v>264</v>
      </c>
      <c r="D44" s="19">
        <f>SUMIFS('Registro de Estudos'!F:F, 'Registro de Estudos'!B:B, A44, 'Registro de Estudos'!C:C, B44)</f>
        <v>0</v>
      </c>
      <c r="E44" s="19">
        <f>SUMIFS('Registro de Estudos'!G:G, 'Registro de Estudos'!B:B, A44, 'Registro de Estudos'!C:C, B44)</f>
        <v>0</v>
      </c>
      <c r="F44" s="28">
        <f t="shared" si="4"/>
        <v>0</v>
      </c>
      <c r="G44" s="29" t="str">
        <f t="shared" si="5"/>
        <v>A REVISAR</v>
      </c>
    </row>
    <row r="45" spans="1:7" x14ac:dyDescent="0.25">
      <c r="A45" s="20" t="s">
        <v>31</v>
      </c>
      <c r="B45" s="20" t="s">
        <v>176</v>
      </c>
      <c r="C45" s="21" t="s">
        <v>264</v>
      </c>
      <c r="D45" s="19">
        <f>SUMIFS('Registro de Estudos'!F:F, 'Registro de Estudos'!B:B, A45, 'Registro de Estudos'!C:C, B45)</f>
        <v>0</v>
      </c>
      <c r="E45" s="19">
        <f>SUMIFS('Registro de Estudos'!G:G, 'Registro de Estudos'!B:B, A45, 'Registro de Estudos'!C:C, B45)</f>
        <v>0</v>
      </c>
      <c r="F45" s="28">
        <f t="shared" si="4"/>
        <v>0</v>
      </c>
      <c r="G45" s="29" t="str">
        <f t="shared" si="5"/>
        <v>A REVISAR</v>
      </c>
    </row>
    <row r="46" spans="1:7" x14ac:dyDescent="0.25">
      <c r="A46" s="20" t="s">
        <v>31</v>
      </c>
      <c r="B46" s="20" t="s">
        <v>186</v>
      </c>
      <c r="C46" s="21" t="s">
        <v>264</v>
      </c>
      <c r="D46" s="19">
        <f>SUMIFS('Registro de Estudos'!F:F, 'Registro de Estudos'!B:B, A46, 'Registro de Estudos'!C:C, B46)</f>
        <v>0</v>
      </c>
      <c r="E46" s="19">
        <f>SUMIFS('Registro de Estudos'!G:G, 'Registro de Estudos'!B:B, A46, 'Registro de Estudos'!C:C, B46)</f>
        <v>0</v>
      </c>
      <c r="F46" s="28">
        <f t="shared" si="4"/>
        <v>0</v>
      </c>
      <c r="G46" s="29" t="str">
        <f t="shared" si="5"/>
        <v>A REVISAR</v>
      </c>
    </row>
    <row r="47" spans="1:7" x14ac:dyDescent="0.25">
      <c r="A47" s="20" t="s">
        <v>31</v>
      </c>
      <c r="B47" s="20" t="s">
        <v>192</v>
      </c>
      <c r="C47" s="21" t="s">
        <v>264</v>
      </c>
      <c r="D47" s="19">
        <f>SUMIFS('Registro de Estudos'!F:F, 'Registro de Estudos'!B:B, A47, 'Registro de Estudos'!C:C, B47)</f>
        <v>0</v>
      </c>
      <c r="E47" s="19">
        <f>SUMIFS('Registro de Estudos'!G:G, 'Registro de Estudos'!B:B, A47, 'Registro de Estudos'!C:C, B47)</f>
        <v>0</v>
      </c>
      <c r="F47" s="28">
        <f t="shared" si="4"/>
        <v>0</v>
      </c>
      <c r="G47" s="29" t="str">
        <f t="shared" si="5"/>
        <v>A REVISAR</v>
      </c>
    </row>
    <row r="48" spans="1:7" ht="28.5" x14ac:dyDescent="0.25">
      <c r="A48" s="20" t="s">
        <v>31</v>
      </c>
      <c r="B48" s="20" t="s">
        <v>208</v>
      </c>
      <c r="C48" s="21" t="s">
        <v>264</v>
      </c>
      <c r="D48" s="19">
        <f>SUMIFS('Registro de Estudos'!F:F, 'Registro de Estudos'!B:B, A48, 'Registro de Estudos'!C:C, B48)</f>
        <v>0</v>
      </c>
      <c r="E48" s="19">
        <f>SUMIFS('Registro de Estudos'!G:G, 'Registro de Estudos'!B:B, A48, 'Registro de Estudos'!C:C, B48)</f>
        <v>0</v>
      </c>
      <c r="F48" s="28">
        <f t="shared" si="4"/>
        <v>0</v>
      </c>
      <c r="G48" s="29" t="str">
        <f t="shared" si="5"/>
        <v>A REVISAR</v>
      </c>
    </row>
    <row r="49" spans="1:7" x14ac:dyDescent="0.25">
      <c r="A49" s="49" t="s">
        <v>267</v>
      </c>
      <c r="B49" s="50"/>
      <c r="C49" s="50"/>
      <c r="D49" s="50"/>
      <c r="E49" s="50"/>
      <c r="F49" s="50"/>
      <c r="G49" s="50"/>
    </row>
    <row r="50" spans="1:7" x14ac:dyDescent="0.25">
      <c r="A50" s="20" t="s">
        <v>32</v>
      </c>
      <c r="B50" s="20" t="s">
        <v>51</v>
      </c>
      <c r="C50" s="21" t="s">
        <v>264</v>
      </c>
      <c r="D50" s="19">
        <f>SUMIFS('Registro de Estudos'!F:F, 'Registro de Estudos'!B:B, A50, 'Registro de Estudos'!C:C, B50)</f>
        <v>35</v>
      </c>
      <c r="E50" s="19">
        <f>SUMIFS('Registro de Estudos'!G:G, 'Registro de Estudos'!B:B, A50, 'Registro de Estudos'!C:C, B50)</f>
        <v>35</v>
      </c>
      <c r="F50" s="28">
        <f t="shared" ref="F50:F59" si="6">IF(D50&gt;0, E50/D50, 0)</f>
        <v>1</v>
      </c>
      <c r="G50" s="29" t="str">
        <f t="shared" ref="G50:G59" si="7">IF(F50&gt;=0.8, "EXCELENTE", IF(F50&gt;=0.5, "REGULAR", "A REVISAR"))</f>
        <v>EXCELENTE</v>
      </c>
    </row>
    <row r="51" spans="1:7" x14ac:dyDescent="0.25">
      <c r="A51" s="20" t="s">
        <v>32</v>
      </c>
      <c r="B51" s="20" t="s">
        <v>90</v>
      </c>
      <c r="C51" s="21" t="s">
        <v>264</v>
      </c>
      <c r="D51" s="19">
        <f>SUMIFS('Registro de Estudos'!F:F, 'Registro de Estudos'!B:B, A51, 'Registro de Estudos'!C:C, B51)</f>
        <v>0</v>
      </c>
      <c r="E51" s="19">
        <f>SUMIFS('Registro de Estudos'!G:G, 'Registro de Estudos'!B:B, A51, 'Registro de Estudos'!C:C, B51)</f>
        <v>0</v>
      </c>
      <c r="F51" s="28">
        <f t="shared" si="6"/>
        <v>0</v>
      </c>
      <c r="G51" s="29" t="str">
        <f t="shared" si="7"/>
        <v>A REVISAR</v>
      </c>
    </row>
    <row r="52" spans="1:7" x14ac:dyDescent="0.25">
      <c r="A52" s="20" t="s">
        <v>32</v>
      </c>
      <c r="B52" s="20" t="s">
        <v>108</v>
      </c>
      <c r="C52" s="21" t="s">
        <v>264</v>
      </c>
      <c r="D52" s="19">
        <f>SUMIFS('Registro de Estudos'!F:F, 'Registro de Estudos'!B:B, A52, 'Registro de Estudos'!C:C, B52)</f>
        <v>0</v>
      </c>
      <c r="E52" s="19">
        <f>SUMIFS('Registro de Estudos'!G:G, 'Registro de Estudos'!B:B, A52, 'Registro de Estudos'!C:C, B52)</f>
        <v>0</v>
      </c>
      <c r="F52" s="28">
        <f t="shared" si="6"/>
        <v>0</v>
      </c>
      <c r="G52" s="29" t="str">
        <f t="shared" si="7"/>
        <v>A REVISAR</v>
      </c>
    </row>
    <row r="53" spans="1:7" x14ac:dyDescent="0.25">
      <c r="A53" s="20" t="s">
        <v>32</v>
      </c>
      <c r="B53" s="20" t="s">
        <v>126</v>
      </c>
      <c r="C53" s="21" t="s">
        <v>264</v>
      </c>
      <c r="D53" s="19">
        <f>SUMIFS('Registro de Estudos'!F:F, 'Registro de Estudos'!B:B, A53, 'Registro de Estudos'!C:C, B53)</f>
        <v>0</v>
      </c>
      <c r="E53" s="19">
        <f>SUMIFS('Registro de Estudos'!G:G, 'Registro de Estudos'!B:B, A53, 'Registro de Estudos'!C:C, B53)</f>
        <v>0</v>
      </c>
      <c r="F53" s="28">
        <f t="shared" si="6"/>
        <v>0</v>
      </c>
      <c r="G53" s="29" t="str">
        <f t="shared" si="7"/>
        <v>A REVISAR</v>
      </c>
    </row>
    <row r="54" spans="1:7" ht="28.5" x14ac:dyDescent="0.25">
      <c r="A54" s="20" t="s">
        <v>32</v>
      </c>
      <c r="B54" s="20" t="s">
        <v>144</v>
      </c>
      <c r="C54" s="21" t="s">
        <v>264</v>
      </c>
      <c r="D54" s="19">
        <f>SUMIFS('Registro de Estudos'!F:F, 'Registro de Estudos'!B:B, A54, 'Registro de Estudos'!C:C, B54)</f>
        <v>0</v>
      </c>
      <c r="E54" s="19">
        <f>SUMIFS('Registro de Estudos'!G:G, 'Registro de Estudos'!B:B, A54, 'Registro de Estudos'!C:C, B54)</f>
        <v>0</v>
      </c>
      <c r="F54" s="28">
        <f t="shared" si="6"/>
        <v>0</v>
      </c>
      <c r="G54" s="29" t="str">
        <f t="shared" si="7"/>
        <v>A REVISAR</v>
      </c>
    </row>
    <row r="55" spans="1:7" x14ac:dyDescent="0.25">
      <c r="A55" s="20" t="s">
        <v>32</v>
      </c>
      <c r="B55" s="20" t="s">
        <v>162</v>
      </c>
      <c r="C55" s="21" t="s">
        <v>264</v>
      </c>
      <c r="D55" s="19">
        <f>SUMIFS('Registro de Estudos'!F:F, 'Registro de Estudos'!B:B, A55, 'Registro de Estudos'!C:C, B55)</f>
        <v>0</v>
      </c>
      <c r="E55" s="19">
        <f>SUMIFS('Registro de Estudos'!G:G, 'Registro de Estudos'!B:B, A55, 'Registro de Estudos'!C:C, B55)</f>
        <v>0</v>
      </c>
      <c r="F55" s="28">
        <f t="shared" si="6"/>
        <v>0</v>
      </c>
      <c r="G55" s="29" t="str">
        <f t="shared" si="7"/>
        <v>A REVISAR</v>
      </c>
    </row>
    <row r="56" spans="1:7" x14ac:dyDescent="0.25">
      <c r="A56" s="20" t="s">
        <v>32</v>
      </c>
      <c r="B56" s="20" t="s">
        <v>179</v>
      </c>
      <c r="C56" s="21" t="s">
        <v>264</v>
      </c>
      <c r="D56" s="19">
        <f>SUMIFS('Registro de Estudos'!F:F, 'Registro de Estudos'!B:B, A56, 'Registro de Estudos'!C:C, B56)</f>
        <v>0</v>
      </c>
      <c r="E56" s="19">
        <f>SUMIFS('Registro de Estudos'!G:G, 'Registro de Estudos'!B:B, A56, 'Registro de Estudos'!C:C, B56)</f>
        <v>0</v>
      </c>
      <c r="F56" s="28">
        <f t="shared" si="6"/>
        <v>0</v>
      </c>
      <c r="G56" s="29" t="str">
        <f t="shared" si="7"/>
        <v>A REVISAR</v>
      </c>
    </row>
    <row r="57" spans="1:7" x14ac:dyDescent="0.25">
      <c r="A57" s="20" t="s">
        <v>32</v>
      </c>
      <c r="B57" s="20" t="s">
        <v>195</v>
      </c>
      <c r="C57" s="21" t="s">
        <v>264</v>
      </c>
      <c r="D57" s="19">
        <f>SUMIFS('Registro de Estudos'!F:F, 'Registro de Estudos'!B:B, A57, 'Registro de Estudos'!C:C, B57)</f>
        <v>0</v>
      </c>
      <c r="E57" s="19">
        <f>SUMIFS('Registro de Estudos'!G:G, 'Registro de Estudos'!B:B, A57, 'Registro de Estudos'!C:C, B57)</f>
        <v>0</v>
      </c>
      <c r="F57" s="28">
        <f t="shared" si="6"/>
        <v>0</v>
      </c>
      <c r="G57" s="29" t="str">
        <f t="shared" si="7"/>
        <v>A REVISAR</v>
      </c>
    </row>
    <row r="58" spans="1:7" x14ac:dyDescent="0.25">
      <c r="A58" s="20" t="s">
        <v>32</v>
      </c>
      <c r="B58" s="20" t="s">
        <v>210</v>
      </c>
      <c r="C58" s="21" t="s">
        <v>264</v>
      </c>
      <c r="D58" s="19">
        <f>SUMIFS('Registro de Estudos'!F:F, 'Registro de Estudos'!B:B, A58, 'Registro de Estudos'!C:C, B58)</f>
        <v>0</v>
      </c>
      <c r="E58" s="19">
        <f>SUMIFS('Registro de Estudos'!G:G, 'Registro de Estudos'!B:B, A58, 'Registro de Estudos'!C:C, B58)</f>
        <v>0</v>
      </c>
      <c r="F58" s="28">
        <f t="shared" si="6"/>
        <v>0</v>
      </c>
      <c r="G58" s="29" t="str">
        <f t="shared" si="7"/>
        <v>A REVISAR</v>
      </c>
    </row>
    <row r="59" spans="1:7" ht="28.5" x14ac:dyDescent="0.25">
      <c r="A59" s="20" t="s">
        <v>32</v>
      </c>
      <c r="B59" s="20" t="s">
        <v>223</v>
      </c>
      <c r="C59" s="21" t="s">
        <v>264</v>
      </c>
      <c r="D59" s="19">
        <f>SUMIFS('Registro de Estudos'!F:F, 'Registro de Estudos'!B:B, A59, 'Registro de Estudos'!C:C, B59)</f>
        <v>0</v>
      </c>
      <c r="E59" s="19">
        <f>SUMIFS('Registro de Estudos'!G:G, 'Registro de Estudos'!B:B, A59, 'Registro de Estudos'!C:C, B59)</f>
        <v>0</v>
      </c>
      <c r="F59" s="28">
        <f t="shared" si="6"/>
        <v>0</v>
      </c>
      <c r="G59" s="29" t="str">
        <f t="shared" si="7"/>
        <v>A REVISAR</v>
      </c>
    </row>
    <row r="60" spans="1:7" x14ac:dyDescent="0.25">
      <c r="A60" s="49" t="s">
        <v>268</v>
      </c>
      <c r="B60" s="50"/>
      <c r="C60" s="50"/>
      <c r="D60" s="50"/>
      <c r="E60" s="50"/>
      <c r="F60" s="50"/>
      <c r="G60" s="50"/>
    </row>
    <row r="61" spans="1:7" x14ac:dyDescent="0.25">
      <c r="A61" s="20" t="s">
        <v>33</v>
      </c>
      <c r="B61" s="20" t="s">
        <v>58</v>
      </c>
      <c r="C61" s="21" t="s">
        <v>264</v>
      </c>
      <c r="D61" s="19">
        <f>SUMIFS('Registro de Estudos'!F:F, 'Registro de Estudos'!B:B, A61, 'Registro de Estudos'!C:C, B61)</f>
        <v>20</v>
      </c>
      <c r="E61" s="19">
        <f>SUMIFS('Registro de Estudos'!G:G, 'Registro de Estudos'!B:B, A61, 'Registro de Estudos'!C:C, B61)</f>
        <v>20</v>
      </c>
      <c r="F61" s="28">
        <f t="shared" ref="F61:F75" si="8">IF(D61&gt;0, E61/D61, 0)</f>
        <v>1</v>
      </c>
      <c r="G61" s="29" t="str">
        <f t="shared" ref="G61:G75" si="9">IF(F61&gt;=0.8, "EXCELENTE", IF(F61&gt;=0.5, "REGULAR", "A REVISAR"))</f>
        <v>EXCELENTE</v>
      </c>
    </row>
    <row r="62" spans="1:7" x14ac:dyDescent="0.25">
      <c r="A62" s="20" t="s">
        <v>33</v>
      </c>
      <c r="B62" s="20" t="s">
        <v>93</v>
      </c>
      <c r="C62" s="21" t="s">
        <v>264</v>
      </c>
      <c r="D62" s="19">
        <f>SUMIFS('Registro de Estudos'!F:F, 'Registro de Estudos'!B:B, A62, 'Registro de Estudos'!C:C, B62)</f>
        <v>0</v>
      </c>
      <c r="E62" s="19">
        <f>SUMIFS('Registro de Estudos'!G:G, 'Registro de Estudos'!B:B, A62, 'Registro de Estudos'!C:C, B62)</f>
        <v>0</v>
      </c>
      <c r="F62" s="28">
        <f t="shared" si="8"/>
        <v>0</v>
      </c>
      <c r="G62" s="29" t="str">
        <f t="shared" si="9"/>
        <v>A REVISAR</v>
      </c>
    </row>
    <row r="63" spans="1:7" x14ac:dyDescent="0.25">
      <c r="A63" s="20" t="s">
        <v>33</v>
      </c>
      <c r="B63" s="20" t="s">
        <v>99</v>
      </c>
      <c r="C63" s="21" t="s">
        <v>264</v>
      </c>
      <c r="D63" s="19">
        <f>SUMIFS('Registro de Estudos'!F:F, 'Registro de Estudos'!B:B, A63, 'Registro de Estudos'!C:C, B63)</f>
        <v>0</v>
      </c>
      <c r="E63" s="19">
        <f>SUMIFS('Registro de Estudos'!G:G, 'Registro de Estudos'!B:B, A63, 'Registro de Estudos'!C:C, B63)</f>
        <v>0</v>
      </c>
      <c r="F63" s="28">
        <f t="shared" si="8"/>
        <v>0</v>
      </c>
      <c r="G63" s="29" t="str">
        <f t="shared" si="9"/>
        <v>A REVISAR</v>
      </c>
    </row>
    <row r="64" spans="1:7" x14ac:dyDescent="0.25">
      <c r="A64" s="20" t="s">
        <v>33</v>
      </c>
      <c r="B64" s="20" t="s">
        <v>111</v>
      </c>
      <c r="C64" s="21" t="s">
        <v>264</v>
      </c>
      <c r="D64" s="19">
        <f>SUMIFS('Registro de Estudos'!F:F, 'Registro de Estudos'!B:B, A64, 'Registro de Estudos'!C:C, B64)</f>
        <v>0</v>
      </c>
      <c r="E64" s="19">
        <f>SUMIFS('Registro de Estudos'!G:G, 'Registro de Estudos'!B:B, A64, 'Registro de Estudos'!C:C, B64)</f>
        <v>0</v>
      </c>
      <c r="F64" s="28">
        <f t="shared" si="8"/>
        <v>0</v>
      </c>
      <c r="G64" s="29" t="str">
        <f t="shared" si="9"/>
        <v>A REVISAR</v>
      </c>
    </row>
    <row r="65" spans="1:7" ht="28.5" x14ac:dyDescent="0.25">
      <c r="A65" s="20" t="s">
        <v>33</v>
      </c>
      <c r="B65" s="20" t="s">
        <v>129</v>
      </c>
      <c r="C65" s="21" t="s">
        <v>264</v>
      </c>
      <c r="D65" s="19">
        <f>SUMIFS('Registro de Estudos'!F:F, 'Registro de Estudos'!B:B, A65, 'Registro de Estudos'!C:C, B65)</f>
        <v>0</v>
      </c>
      <c r="E65" s="19">
        <f>SUMIFS('Registro de Estudos'!G:G, 'Registro de Estudos'!B:B, A65, 'Registro de Estudos'!C:C, B65)</f>
        <v>0</v>
      </c>
      <c r="F65" s="28">
        <f t="shared" si="8"/>
        <v>0</v>
      </c>
      <c r="G65" s="29" t="str">
        <f t="shared" si="9"/>
        <v>A REVISAR</v>
      </c>
    </row>
    <row r="66" spans="1:7" x14ac:dyDescent="0.25">
      <c r="A66" s="20" t="s">
        <v>33</v>
      </c>
      <c r="B66" s="20" t="s">
        <v>135</v>
      </c>
      <c r="C66" s="21" t="s">
        <v>264</v>
      </c>
      <c r="D66" s="19">
        <f>SUMIFS('Registro de Estudos'!F:F, 'Registro de Estudos'!B:B, A66, 'Registro de Estudos'!C:C, B66)</f>
        <v>0</v>
      </c>
      <c r="E66" s="19">
        <f>SUMIFS('Registro de Estudos'!G:G, 'Registro de Estudos'!B:B, A66, 'Registro de Estudos'!C:C, B66)</f>
        <v>0</v>
      </c>
      <c r="F66" s="28">
        <f t="shared" si="8"/>
        <v>0</v>
      </c>
      <c r="G66" s="29" t="str">
        <f t="shared" si="9"/>
        <v>A REVISAR</v>
      </c>
    </row>
    <row r="67" spans="1:7" x14ac:dyDescent="0.25">
      <c r="A67" s="20" t="s">
        <v>33</v>
      </c>
      <c r="B67" s="20" t="s">
        <v>147</v>
      </c>
      <c r="C67" s="21" t="s">
        <v>264</v>
      </c>
      <c r="D67" s="19">
        <f>SUMIFS('Registro de Estudos'!F:F, 'Registro de Estudos'!B:B, A67, 'Registro de Estudos'!C:C, B67)</f>
        <v>0</v>
      </c>
      <c r="E67" s="19">
        <f>SUMIFS('Registro de Estudos'!G:G, 'Registro de Estudos'!B:B, A67, 'Registro de Estudos'!C:C, B67)</f>
        <v>0</v>
      </c>
      <c r="F67" s="28">
        <f t="shared" si="8"/>
        <v>0</v>
      </c>
      <c r="G67" s="29" t="str">
        <f t="shared" si="9"/>
        <v>A REVISAR</v>
      </c>
    </row>
    <row r="68" spans="1:7" x14ac:dyDescent="0.25">
      <c r="A68" s="20" t="s">
        <v>33</v>
      </c>
      <c r="B68" s="20" t="s">
        <v>165</v>
      </c>
      <c r="C68" s="21" t="s">
        <v>264</v>
      </c>
      <c r="D68" s="19">
        <f>SUMIFS('Registro de Estudos'!F:F, 'Registro de Estudos'!B:B, A68, 'Registro de Estudos'!C:C, B68)</f>
        <v>0</v>
      </c>
      <c r="E68" s="19">
        <f>SUMIFS('Registro de Estudos'!G:G, 'Registro de Estudos'!B:B, A68, 'Registro de Estudos'!C:C, B68)</f>
        <v>0</v>
      </c>
      <c r="F68" s="28">
        <f t="shared" si="8"/>
        <v>0</v>
      </c>
      <c r="G68" s="29" t="str">
        <f t="shared" si="9"/>
        <v>A REVISAR</v>
      </c>
    </row>
    <row r="69" spans="1:7" x14ac:dyDescent="0.25">
      <c r="A69" s="20" t="s">
        <v>33</v>
      </c>
      <c r="B69" s="20" t="s">
        <v>170</v>
      </c>
      <c r="C69" s="21" t="s">
        <v>264</v>
      </c>
      <c r="D69" s="19">
        <f>SUMIFS('Registro de Estudos'!F:F, 'Registro de Estudos'!B:B, A69, 'Registro de Estudos'!C:C, B69)</f>
        <v>0</v>
      </c>
      <c r="E69" s="19">
        <f>SUMIFS('Registro de Estudos'!G:G, 'Registro de Estudos'!B:B, A69, 'Registro de Estudos'!C:C, B69)</f>
        <v>0</v>
      </c>
      <c r="F69" s="28">
        <f t="shared" si="8"/>
        <v>0</v>
      </c>
      <c r="G69" s="29" t="str">
        <f t="shared" si="9"/>
        <v>A REVISAR</v>
      </c>
    </row>
    <row r="70" spans="1:7" x14ac:dyDescent="0.25">
      <c r="A70" s="20" t="s">
        <v>33</v>
      </c>
      <c r="B70" s="20" t="s">
        <v>182</v>
      </c>
      <c r="C70" s="21" t="s">
        <v>264</v>
      </c>
      <c r="D70" s="19">
        <f>SUMIFS('Registro de Estudos'!F:F, 'Registro de Estudos'!B:B, A70, 'Registro de Estudos'!C:C, B70)</f>
        <v>0</v>
      </c>
      <c r="E70" s="19">
        <f>SUMIFS('Registro de Estudos'!G:G, 'Registro de Estudos'!B:B, A70, 'Registro de Estudos'!C:C, B70)</f>
        <v>0</v>
      </c>
      <c r="F70" s="28">
        <f t="shared" si="8"/>
        <v>0</v>
      </c>
      <c r="G70" s="29" t="str">
        <f t="shared" si="9"/>
        <v>A REVISAR</v>
      </c>
    </row>
    <row r="71" spans="1:7" x14ac:dyDescent="0.25">
      <c r="A71" s="20" t="s">
        <v>33</v>
      </c>
      <c r="B71" s="20" t="s">
        <v>198</v>
      </c>
      <c r="C71" s="21" t="s">
        <v>264</v>
      </c>
      <c r="D71" s="19">
        <f>SUMIFS('Registro de Estudos'!F:F, 'Registro de Estudos'!B:B, A71, 'Registro de Estudos'!C:C, B71)</f>
        <v>0</v>
      </c>
      <c r="E71" s="19">
        <f>SUMIFS('Registro de Estudos'!G:G, 'Registro de Estudos'!B:B, A71, 'Registro de Estudos'!C:C, B71)</f>
        <v>0</v>
      </c>
      <c r="F71" s="28">
        <f t="shared" si="8"/>
        <v>0</v>
      </c>
      <c r="G71" s="29" t="str">
        <f t="shared" si="9"/>
        <v>A REVISAR</v>
      </c>
    </row>
    <row r="72" spans="1:7" x14ac:dyDescent="0.25">
      <c r="A72" s="20" t="s">
        <v>33</v>
      </c>
      <c r="B72" s="20" t="s">
        <v>202</v>
      </c>
      <c r="C72" s="21" t="s">
        <v>264</v>
      </c>
      <c r="D72" s="19">
        <f>SUMIFS('Registro de Estudos'!F:F, 'Registro de Estudos'!B:B, A72, 'Registro de Estudos'!C:C, B72)</f>
        <v>0</v>
      </c>
      <c r="E72" s="19">
        <f>SUMIFS('Registro de Estudos'!G:G, 'Registro de Estudos'!B:B, A72, 'Registro de Estudos'!C:C, B72)</f>
        <v>0</v>
      </c>
      <c r="F72" s="28">
        <f t="shared" si="8"/>
        <v>0</v>
      </c>
      <c r="G72" s="29" t="str">
        <f t="shared" si="9"/>
        <v>A REVISAR</v>
      </c>
    </row>
    <row r="73" spans="1:7" x14ac:dyDescent="0.25">
      <c r="A73" s="20" t="s">
        <v>33</v>
      </c>
      <c r="B73" s="20" t="s">
        <v>213</v>
      </c>
      <c r="C73" s="21" t="s">
        <v>264</v>
      </c>
      <c r="D73" s="19">
        <f>SUMIFS('Registro de Estudos'!F:F, 'Registro de Estudos'!B:B, A73, 'Registro de Estudos'!C:C, B73)</f>
        <v>0</v>
      </c>
      <c r="E73" s="19">
        <f>SUMIFS('Registro de Estudos'!G:G, 'Registro de Estudos'!B:B, A73, 'Registro de Estudos'!C:C, B73)</f>
        <v>0</v>
      </c>
      <c r="F73" s="28">
        <f t="shared" si="8"/>
        <v>0</v>
      </c>
      <c r="G73" s="29" t="str">
        <f t="shared" si="9"/>
        <v>A REVISAR</v>
      </c>
    </row>
    <row r="74" spans="1:7" ht="28.5" x14ac:dyDescent="0.25">
      <c r="A74" s="20" t="s">
        <v>33</v>
      </c>
      <c r="B74" s="20" t="s">
        <v>226</v>
      </c>
      <c r="C74" s="21" t="s">
        <v>264</v>
      </c>
      <c r="D74" s="19">
        <f>SUMIFS('Registro de Estudos'!F:F, 'Registro de Estudos'!B:B, A74, 'Registro de Estudos'!C:C, B74)</f>
        <v>0</v>
      </c>
      <c r="E74" s="19">
        <f>SUMIFS('Registro de Estudos'!G:G, 'Registro de Estudos'!B:B, A74, 'Registro de Estudos'!C:C, B74)</f>
        <v>0</v>
      </c>
      <c r="F74" s="28">
        <f t="shared" si="8"/>
        <v>0</v>
      </c>
      <c r="G74" s="29" t="str">
        <f t="shared" si="9"/>
        <v>A REVISAR</v>
      </c>
    </row>
    <row r="75" spans="1:7" x14ac:dyDescent="0.25">
      <c r="A75" s="20" t="s">
        <v>33</v>
      </c>
      <c r="B75" s="20" t="s">
        <v>230</v>
      </c>
      <c r="C75" s="21" t="s">
        <v>264</v>
      </c>
      <c r="D75" s="19">
        <f>SUMIFS('Registro de Estudos'!F:F, 'Registro de Estudos'!B:B, A75, 'Registro de Estudos'!C:C, B75)</f>
        <v>0</v>
      </c>
      <c r="E75" s="19">
        <f>SUMIFS('Registro de Estudos'!G:G, 'Registro de Estudos'!B:B, A75, 'Registro de Estudos'!C:C, B75)</f>
        <v>0</v>
      </c>
      <c r="F75" s="28">
        <f t="shared" si="8"/>
        <v>0</v>
      </c>
      <c r="G75" s="29" t="str">
        <f t="shared" si="9"/>
        <v>A REVISAR</v>
      </c>
    </row>
    <row r="76" spans="1:7" x14ac:dyDescent="0.25">
      <c r="A76" s="49" t="s">
        <v>269</v>
      </c>
      <c r="B76" s="50"/>
      <c r="C76" s="50"/>
      <c r="D76" s="50"/>
      <c r="E76" s="50"/>
      <c r="F76" s="50"/>
      <c r="G76" s="50"/>
    </row>
    <row r="77" spans="1:7" ht="28.5" x14ac:dyDescent="0.25">
      <c r="A77" s="20" t="s">
        <v>34</v>
      </c>
      <c r="B77" s="20" t="s">
        <v>50</v>
      </c>
      <c r="C77" s="21" t="s">
        <v>282</v>
      </c>
      <c r="D77" s="19">
        <v>40</v>
      </c>
      <c r="E77" s="19">
        <v>34</v>
      </c>
      <c r="F77" s="28">
        <f t="shared" ref="F77:F84" si="10">IF(D77&gt;0, E77/D77, 0)</f>
        <v>0.85</v>
      </c>
      <c r="G77" s="29" t="str">
        <f t="shared" ref="G77:G84" si="11">IF(F77&gt;=0.8, "EXCELENTE", IF(F77&gt;=0.5, "REGULAR", "A REVISAR"))</f>
        <v>EXCELENTE</v>
      </c>
    </row>
    <row r="78" spans="1:7" ht="28.5" x14ac:dyDescent="0.25">
      <c r="A78" s="20" t="s">
        <v>34</v>
      </c>
      <c r="B78" s="20" t="s">
        <v>89</v>
      </c>
      <c r="C78" s="21" t="s">
        <v>264</v>
      </c>
      <c r="D78" s="19">
        <f>SUMIFS('Registro de Estudos'!F:F, 'Registro de Estudos'!B:B, A78, 'Registro de Estudos'!C:C, B78)</f>
        <v>0</v>
      </c>
      <c r="E78" s="19">
        <f>SUMIFS('Registro de Estudos'!G:G, 'Registro de Estudos'!B:B, A78, 'Registro de Estudos'!C:C, B78)</f>
        <v>0</v>
      </c>
      <c r="F78" s="28">
        <f t="shared" si="10"/>
        <v>0</v>
      </c>
      <c r="G78" s="29" t="str">
        <f t="shared" si="11"/>
        <v>A REVISAR</v>
      </c>
    </row>
    <row r="79" spans="1:7" ht="28.5" x14ac:dyDescent="0.25">
      <c r="A79" s="20" t="s">
        <v>34</v>
      </c>
      <c r="B79" s="20" t="s">
        <v>107</v>
      </c>
      <c r="C79" s="21" t="s">
        <v>264</v>
      </c>
      <c r="D79" s="19">
        <f>SUMIFS('Registro de Estudos'!F:F, 'Registro de Estudos'!B:B, A79, 'Registro de Estudos'!C:C, B79)</f>
        <v>0</v>
      </c>
      <c r="E79" s="19">
        <f>SUMIFS('Registro de Estudos'!G:G, 'Registro de Estudos'!B:B, A79, 'Registro de Estudos'!C:C, B79)</f>
        <v>0</v>
      </c>
      <c r="F79" s="28">
        <f t="shared" si="10"/>
        <v>0</v>
      </c>
      <c r="G79" s="29" t="str">
        <f t="shared" si="11"/>
        <v>A REVISAR</v>
      </c>
    </row>
    <row r="80" spans="1:7" ht="28.5" x14ac:dyDescent="0.25">
      <c r="A80" s="20" t="s">
        <v>34</v>
      </c>
      <c r="B80" s="20" t="s">
        <v>125</v>
      </c>
      <c r="C80" s="21" t="s">
        <v>264</v>
      </c>
      <c r="D80" s="19">
        <f>SUMIFS('Registro de Estudos'!F:F, 'Registro de Estudos'!B:B, A80, 'Registro de Estudos'!C:C, B80)</f>
        <v>0</v>
      </c>
      <c r="E80" s="19">
        <f>SUMIFS('Registro de Estudos'!G:G, 'Registro de Estudos'!B:B, A80, 'Registro de Estudos'!C:C, B80)</f>
        <v>0</v>
      </c>
      <c r="F80" s="28">
        <f t="shared" si="10"/>
        <v>0</v>
      </c>
      <c r="G80" s="29" t="str">
        <f t="shared" si="11"/>
        <v>A REVISAR</v>
      </c>
    </row>
    <row r="81" spans="1:7" ht="28.5" x14ac:dyDescent="0.25">
      <c r="A81" s="20" t="s">
        <v>34</v>
      </c>
      <c r="B81" s="20" t="s">
        <v>143</v>
      </c>
      <c r="C81" s="21" t="s">
        <v>264</v>
      </c>
      <c r="D81" s="19">
        <f>SUMIFS('Registro de Estudos'!F:F, 'Registro de Estudos'!B:B, A81, 'Registro de Estudos'!C:C, B81)</f>
        <v>0</v>
      </c>
      <c r="E81" s="19">
        <f>SUMIFS('Registro de Estudos'!G:G, 'Registro de Estudos'!B:B, A81, 'Registro de Estudos'!C:C, B81)</f>
        <v>0</v>
      </c>
      <c r="F81" s="28">
        <f t="shared" si="10"/>
        <v>0</v>
      </c>
      <c r="G81" s="29" t="str">
        <f t="shared" si="11"/>
        <v>A REVISAR</v>
      </c>
    </row>
    <row r="82" spans="1:7" ht="28.5" x14ac:dyDescent="0.25">
      <c r="A82" s="20" t="s">
        <v>34</v>
      </c>
      <c r="B82" s="20" t="s">
        <v>161</v>
      </c>
      <c r="C82" s="21" t="s">
        <v>264</v>
      </c>
      <c r="D82" s="19">
        <f>SUMIFS('Registro de Estudos'!F:F, 'Registro de Estudos'!B:B, A82, 'Registro de Estudos'!C:C, B82)</f>
        <v>0</v>
      </c>
      <c r="E82" s="19">
        <f>SUMIFS('Registro de Estudos'!G:G, 'Registro de Estudos'!B:B, A82, 'Registro de Estudos'!C:C, B82)</f>
        <v>0</v>
      </c>
      <c r="F82" s="28">
        <f t="shared" si="10"/>
        <v>0</v>
      </c>
      <c r="G82" s="29" t="str">
        <f t="shared" si="11"/>
        <v>A REVISAR</v>
      </c>
    </row>
    <row r="83" spans="1:7" ht="28.5" x14ac:dyDescent="0.25">
      <c r="A83" s="20" t="s">
        <v>34</v>
      </c>
      <c r="B83" s="20" t="s">
        <v>178</v>
      </c>
      <c r="C83" s="21" t="s">
        <v>264</v>
      </c>
      <c r="D83" s="19">
        <f>SUMIFS('Registro de Estudos'!F:F, 'Registro de Estudos'!B:B, A83, 'Registro de Estudos'!C:C, B83)</f>
        <v>0</v>
      </c>
      <c r="E83" s="19">
        <f>SUMIFS('Registro de Estudos'!G:G, 'Registro de Estudos'!B:B, A83, 'Registro de Estudos'!C:C, B83)</f>
        <v>0</v>
      </c>
      <c r="F83" s="28">
        <f t="shared" si="10"/>
        <v>0</v>
      </c>
      <c r="G83" s="29" t="str">
        <f t="shared" si="11"/>
        <v>A REVISAR</v>
      </c>
    </row>
    <row r="84" spans="1:7" ht="28.5" x14ac:dyDescent="0.25">
      <c r="A84" s="20" t="s">
        <v>34</v>
      </c>
      <c r="B84" s="20" t="s">
        <v>194</v>
      </c>
      <c r="C84" s="21" t="s">
        <v>264</v>
      </c>
      <c r="D84" s="19">
        <f>SUMIFS('Registro de Estudos'!F:F, 'Registro de Estudos'!B:B, A84, 'Registro de Estudos'!C:C, B84)</f>
        <v>0</v>
      </c>
      <c r="E84" s="19">
        <f>SUMIFS('Registro de Estudos'!G:G, 'Registro de Estudos'!B:B, A84, 'Registro de Estudos'!C:C, B84)</f>
        <v>0</v>
      </c>
      <c r="F84" s="28">
        <f t="shared" si="10"/>
        <v>0</v>
      </c>
      <c r="G84" s="29" t="str">
        <f t="shared" si="11"/>
        <v>A REVISAR</v>
      </c>
    </row>
    <row r="85" spans="1:7" x14ac:dyDescent="0.25">
      <c r="A85" s="49" t="s">
        <v>270</v>
      </c>
      <c r="B85" s="50"/>
      <c r="C85" s="50"/>
      <c r="D85" s="50"/>
      <c r="E85" s="50"/>
      <c r="F85" s="50"/>
      <c r="G85" s="50"/>
    </row>
    <row r="86" spans="1:7" x14ac:dyDescent="0.25">
      <c r="A86" s="20" t="s">
        <v>35</v>
      </c>
      <c r="B86" s="20" t="s">
        <v>65</v>
      </c>
      <c r="C86" s="21" t="s">
        <v>264</v>
      </c>
      <c r="D86" s="19">
        <f>SUMIFS('Registro de Estudos'!F:F, 'Registro de Estudos'!B:B, A86, 'Registro de Estudos'!C:C, B86)</f>
        <v>0</v>
      </c>
      <c r="E86" s="19">
        <f>SUMIFS('Registro de Estudos'!G:G, 'Registro de Estudos'!B:B, A86, 'Registro de Estudos'!C:C, B86)</f>
        <v>0</v>
      </c>
      <c r="F86" s="28">
        <f>IF(D86&gt;0, E86/D86, 0)</f>
        <v>0</v>
      </c>
      <c r="G86" s="29" t="str">
        <f>IF(F86&gt;=0.8, "EXCELENTE", IF(F86&gt;=0.5, "REGULAR", "A REVISAR"))</f>
        <v>A REVISAR</v>
      </c>
    </row>
    <row r="87" spans="1:7" x14ac:dyDescent="0.25">
      <c r="A87" s="20" t="s">
        <v>35</v>
      </c>
      <c r="B87" s="20" t="s">
        <v>98</v>
      </c>
      <c r="C87" s="21" t="s">
        <v>264</v>
      </c>
      <c r="D87" s="19">
        <f>SUMIFS('Registro de Estudos'!F:F, 'Registro de Estudos'!B:B, A87, 'Registro de Estudos'!C:C, B87)</f>
        <v>0</v>
      </c>
      <c r="E87" s="19">
        <f>SUMIFS('Registro de Estudos'!G:G, 'Registro de Estudos'!B:B, A87, 'Registro de Estudos'!C:C, B87)</f>
        <v>0</v>
      </c>
      <c r="F87" s="28">
        <f>IF(D87&gt;0, E87/D87, 0)</f>
        <v>0</v>
      </c>
      <c r="G87" s="29" t="str">
        <f>IF(F87&gt;=0.8, "EXCELENTE", IF(F87&gt;=0.5, "REGULAR", "A REVISAR"))</f>
        <v>A REVISAR</v>
      </c>
    </row>
    <row r="88" spans="1:7" x14ac:dyDescent="0.25">
      <c r="A88" s="20" t="s">
        <v>35</v>
      </c>
      <c r="B88" s="20" t="s">
        <v>116</v>
      </c>
      <c r="C88" s="21" t="s">
        <v>264</v>
      </c>
      <c r="D88" s="19">
        <f>SUMIFS('Registro de Estudos'!F:F, 'Registro de Estudos'!B:B, A88, 'Registro de Estudos'!C:C, B88)</f>
        <v>0</v>
      </c>
      <c r="E88" s="19">
        <f>SUMIFS('Registro de Estudos'!G:G, 'Registro de Estudos'!B:B, A88, 'Registro de Estudos'!C:C, B88)</f>
        <v>0</v>
      </c>
      <c r="F88" s="28">
        <f>IF(D88&gt;0, E88/D88, 0)</f>
        <v>0</v>
      </c>
      <c r="G88" s="29" t="str">
        <f>IF(F88&gt;=0.8, "EXCELENTE", IF(F88&gt;=0.5, "REGULAR", "A REVISAR"))</f>
        <v>A REVISAR</v>
      </c>
    </row>
    <row r="89" spans="1:7" ht="28.5" x14ac:dyDescent="0.25">
      <c r="A89" s="20" t="s">
        <v>35</v>
      </c>
      <c r="B89" s="20" t="s">
        <v>134</v>
      </c>
      <c r="C89" s="21" t="s">
        <v>264</v>
      </c>
      <c r="D89" s="19">
        <f>SUMIFS('Registro de Estudos'!F:F, 'Registro de Estudos'!B:B, A89, 'Registro de Estudos'!C:C, B89)</f>
        <v>0</v>
      </c>
      <c r="E89" s="19">
        <f>SUMIFS('Registro de Estudos'!G:G, 'Registro de Estudos'!B:B, A89, 'Registro de Estudos'!C:C, B89)</f>
        <v>0</v>
      </c>
      <c r="F89" s="28">
        <f>IF(D89&gt;0, E89/D89, 0)</f>
        <v>0</v>
      </c>
      <c r="G89" s="29" t="str">
        <f>IF(F89&gt;=0.8, "EXCELENTE", IF(F89&gt;=0.5, "REGULAR", "A REVISAR"))</f>
        <v>A REVISAR</v>
      </c>
    </row>
    <row r="90" spans="1:7" x14ac:dyDescent="0.25">
      <c r="A90" s="20" t="s">
        <v>35</v>
      </c>
      <c r="B90" s="20" t="s">
        <v>152</v>
      </c>
      <c r="C90" s="21" t="s">
        <v>264</v>
      </c>
      <c r="D90" s="19">
        <f>SUMIFS('Registro de Estudos'!F:F, 'Registro de Estudos'!B:B, A90, 'Registro de Estudos'!C:C, B90)</f>
        <v>0</v>
      </c>
      <c r="E90" s="19">
        <f>SUMIFS('Registro de Estudos'!G:G, 'Registro de Estudos'!B:B, A90, 'Registro de Estudos'!C:C, B90)</f>
        <v>0</v>
      </c>
      <c r="F90" s="28">
        <f>IF(D90&gt;0, E90/D90, 0)</f>
        <v>0</v>
      </c>
      <c r="G90" s="29" t="str">
        <f>IF(F90&gt;=0.8, "EXCELENTE", IF(F90&gt;=0.5, "REGULAR", "A REVISAR"))</f>
        <v>A REVISAR</v>
      </c>
    </row>
    <row r="91" spans="1:7" x14ac:dyDescent="0.25">
      <c r="A91" s="49" t="s">
        <v>271</v>
      </c>
      <c r="B91" s="50"/>
      <c r="C91" s="50"/>
      <c r="D91" s="50"/>
      <c r="E91" s="50"/>
      <c r="F91" s="50"/>
      <c r="G91" s="50"/>
    </row>
    <row r="92" spans="1:7" ht="28.5" x14ac:dyDescent="0.25">
      <c r="A92" s="20" t="s">
        <v>36</v>
      </c>
      <c r="B92" s="20" t="s">
        <v>62</v>
      </c>
      <c r="C92" s="21" t="s">
        <v>264</v>
      </c>
      <c r="D92" s="19">
        <f>SUMIFS('Registro de Estudos'!F:F, 'Registro de Estudos'!B:B, A92, 'Registro de Estudos'!C:C, B92)</f>
        <v>0</v>
      </c>
      <c r="E92" s="19">
        <f>SUMIFS('Registro de Estudos'!G:G, 'Registro de Estudos'!B:B, A92, 'Registro de Estudos'!C:C, B92)</f>
        <v>0</v>
      </c>
      <c r="F92" s="28">
        <f>IF(D92&gt;0, E92/D92, 0)</f>
        <v>0</v>
      </c>
      <c r="G92" s="29" t="str">
        <f>IF(F92&gt;=0.8, "EXCELENTE", IF(F92&gt;=0.5, "REGULAR", "A REVISAR"))</f>
        <v>A REVISAR</v>
      </c>
    </row>
    <row r="93" spans="1:7" x14ac:dyDescent="0.25">
      <c r="A93" s="20" t="s">
        <v>36</v>
      </c>
      <c r="B93" s="20" t="s">
        <v>96</v>
      </c>
      <c r="C93" s="21" t="s">
        <v>264</v>
      </c>
      <c r="D93" s="19">
        <f>SUMIFS('Registro de Estudos'!F:F, 'Registro de Estudos'!B:B, A93, 'Registro de Estudos'!C:C, B93)</f>
        <v>0</v>
      </c>
      <c r="E93" s="19">
        <f>SUMIFS('Registro de Estudos'!G:G, 'Registro de Estudos'!B:B, A93, 'Registro de Estudos'!C:C, B93)</f>
        <v>0</v>
      </c>
      <c r="F93" s="28">
        <f>IF(D93&gt;0, E93/D93, 0)</f>
        <v>0</v>
      </c>
      <c r="G93" s="29" t="str">
        <f>IF(F93&gt;=0.8, "EXCELENTE", IF(F93&gt;=0.5, "REGULAR", "A REVISAR"))</f>
        <v>A REVISAR</v>
      </c>
    </row>
    <row r="94" spans="1:7" x14ac:dyDescent="0.25">
      <c r="A94" s="20" t="s">
        <v>36</v>
      </c>
      <c r="B94" s="20" t="s">
        <v>114</v>
      </c>
      <c r="C94" s="21" t="s">
        <v>264</v>
      </c>
      <c r="D94" s="19">
        <f>SUMIFS('Registro de Estudos'!F:F, 'Registro de Estudos'!B:B, A94, 'Registro de Estudos'!C:C, B94)</f>
        <v>0</v>
      </c>
      <c r="E94" s="19">
        <f>SUMIFS('Registro de Estudos'!G:G, 'Registro de Estudos'!B:B, A94, 'Registro de Estudos'!C:C, B94)</f>
        <v>0</v>
      </c>
      <c r="F94" s="28">
        <f>IF(D94&gt;0, E94/D94, 0)</f>
        <v>0</v>
      </c>
      <c r="G94" s="29" t="str">
        <f>IF(F94&gt;=0.8, "EXCELENTE", IF(F94&gt;=0.5, "REGULAR", "A REVISAR"))</f>
        <v>A REVISAR</v>
      </c>
    </row>
    <row r="95" spans="1:7" x14ac:dyDescent="0.25">
      <c r="A95" s="20" t="s">
        <v>36</v>
      </c>
      <c r="B95" s="20" t="s">
        <v>132</v>
      </c>
      <c r="C95" s="21" t="s">
        <v>264</v>
      </c>
      <c r="D95" s="19">
        <f>SUMIFS('Registro de Estudos'!F:F, 'Registro de Estudos'!B:B, A95, 'Registro de Estudos'!C:C, B95)</f>
        <v>0</v>
      </c>
      <c r="E95" s="19">
        <f>SUMIFS('Registro de Estudos'!G:G, 'Registro de Estudos'!B:B, A95, 'Registro de Estudos'!C:C, B95)</f>
        <v>0</v>
      </c>
      <c r="F95" s="28">
        <f>IF(D95&gt;0, E95/D95, 0)</f>
        <v>0</v>
      </c>
      <c r="G95" s="29" t="str">
        <f>IF(F95&gt;=0.8, "EXCELENTE", IF(F95&gt;=0.5, "REGULAR", "A REVISAR"))</f>
        <v>A REVISAR</v>
      </c>
    </row>
    <row r="96" spans="1:7" ht="28.5" x14ac:dyDescent="0.25">
      <c r="A96" s="20" t="s">
        <v>36</v>
      </c>
      <c r="B96" s="20" t="s">
        <v>150</v>
      </c>
      <c r="C96" s="21" t="s">
        <v>264</v>
      </c>
      <c r="D96" s="19">
        <f>SUMIFS('Registro de Estudos'!F:F, 'Registro de Estudos'!B:B, A96, 'Registro de Estudos'!C:C, B96)</f>
        <v>0</v>
      </c>
      <c r="E96" s="19">
        <f>SUMIFS('Registro de Estudos'!G:G, 'Registro de Estudos'!B:B, A96, 'Registro de Estudos'!C:C, B96)</f>
        <v>0</v>
      </c>
      <c r="F96" s="28">
        <f>IF(D96&gt;0, E96/D96, 0)</f>
        <v>0</v>
      </c>
      <c r="G96" s="29" t="str">
        <f>IF(F96&gt;=0.8, "EXCELENTE", IF(F96&gt;=0.5, "REGULAR", "A REVISAR"))</f>
        <v>A REVISAR</v>
      </c>
    </row>
  </sheetData>
  <mergeCells count="8">
    <mergeCell ref="A36:G36"/>
    <mergeCell ref="A91:G91"/>
    <mergeCell ref="A2:G2"/>
    <mergeCell ref="A60:G60"/>
    <mergeCell ref="A76:G76"/>
    <mergeCell ref="A49:G49"/>
    <mergeCell ref="A85:G85"/>
    <mergeCell ref="A23:G23"/>
  </mergeCells>
  <dataValidations count="1">
    <dataValidation type="list" sqref="C2:C96" xr:uid="{00000000-0002-0000-0300-000000000000}">
      <formula1>"Sim,Não"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J499"/>
  <sheetViews>
    <sheetView topLeftCell="A4" workbookViewId="0">
      <selection activeCell="H7" sqref="H7"/>
    </sheetView>
  </sheetViews>
  <sheetFormatPr defaultRowHeight="15" x14ac:dyDescent="0.25"/>
  <cols>
    <col min="1" max="1" width="12" customWidth="1"/>
    <col min="2" max="2" width="25" customWidth="1"/>
    <col min="3" max="3" width="65" customWidth="1"/>
    <col min="4" max="4" width="15" customWidth="1"/>
    <col min="5" max="5" width="12" customWidth="1"/>
    <col min="6" max="6" width="15" customWidth="1"/>
    <col min="7" max="8" width="12" customWidth="1"/>
    <col min="9" max="9" width="15" customWidth="1"/>
    <col min="10" max="10" width="50" customWidth="1"/>
  </cols>
  <sheetData>
    <row r="1" spans="1:10" ht="33" x14ac:dyDescent="0.25">
      <c r="A1" s="18" t="s">
        <v>37</v>
      </c>
      <c r="B1" s="18" t="s">
        <v>26</v>
      </c>
      <c r="C1" s="18" t="s">
        <v>272</v>
      </c>
      <c r="D1" s="18" t="s">
        <v>273</v>
      </c>
      <c r="E1" s="18" t="s">
        <v>274</v>
      </c>
      <c r="F1" s="18" t="s">
        <v>27</v>
      </c>
      <c r="G1" s="18" t="s">
        <v>7</v>
      </c>
      <c r="H1" s="18" t="s">
        <v>8</v>
      </c>
      <c r="I1" s="18" t="s">
        <v>275</v>
      </c>
      <c r="J1" s="18" t="s">
        <v>276</v>
      </c>
    </row>
    <row r="2" spans="1:10" ht="30" x14ac:dyDescent="0.25">
      <c r="A2" s="52">
        <v>46216</v>
      </c>
      <c r="B2" s="31" t="s">
        <v>29</v>
      </c>
      <c r="C2" s="31" t="s">
        <v>61</v>
      </c>
      <c r="D2" s="30" t="s">
        <v>6</v>
      </c>
      <c r="E2" s="30">
        <v>90</v>
      </c>
      <c r="F2" s="30">
        <v>20</v>
      </c>
      <c r="G2" s="30">
        <v>18</v>
      </c>
      <c r="H2" s="19">
        <f t="shared" ref="H2:H65" si="0">IF(F2&gt;0, F2-G2, "")</f>
        <v>2</v>
      </c>
      <c r="I2" s="28">
        <f t="shared" ref="I2:I65" si="1">IF(F2&gt;0, G2/F2, 0)</f>
        <v>0.9</v>
      </c>
      <c r="J2" s="31" t="s">
        <v>277</v>
      </c>
    </row>
    <row r="3" spans="1:10" ht="90" x14ac:dyDescent="0.25">
      <c r="A3" s="51">
        <v>46217</v>
      </c>
      <c r="B3" s="33" t="s">
        <v>34</v>
      </c>
      <c r="C3" s="31" t="s">
        <v>50</v>
      </c>
      <c r="D3" s="32" t="s">
        <v>284</v>
      </c>
      <c r="E3" s="32">
        <v>180</v>
      </c>
      <c r="F3" s="32">
        <v>40</v>
      </c>
      <c r="G3" s="32">
        <v>34</v>
      </c>
      <c r="H3" s="34">
        <f t="shared" si="0"/>
        <v>6</v>
      </c>
      <c r="I3" s="35">
        <f t="shared" si="1"/>
        <v>0.85</v>
      </c>
      <c r="J3" s="33" t="s">
        <v>283</v>
      </c>
    </row>
    <row r="4" spans="1:10" x14ac:dyDescent="0.25">
      <c r="A4" s="51">
        <v>46217</v>
      </c>
      <c r="B4" s="31" t="s">
        <v>32</v>
      </c>
      <c r="C4" s="31" t="s">
        <v>51</v>
      </c>
      <c r="D4" s="30" t="s">
        <v>284</v>
      </c>
      <c r="E4" s="30">
        <v>45</v>
      </c>
      <c r="F4" s="30">
        <v>35</v>
      </c>
      <c r="G4" s="30">
        <v>35</v>
      </c>
      <c r="H4" s="19">
        <f t="shared" si="0"/>
        <v>0</v>
      </c>
      <c r="I4" s="28">
        <f t="shared" si="1"/>
        <v>1</v>
      </c>
      <c r="J4" s="31"/>
    </row>
    <row r="5" spans="1:10" ht="165" x14ac:dyDescent="0.25">
      <c r="A5" s="51">
        <v>46217</v>
      </c>
      <c r="B5" s="33" t="s">
        <v>36</v>
      </c>
      <c r="C5" s="33" t="s">
        <v>286</v>
      </c>
      <c r="D5" s="32" t="s">
        <v>6</v>
      </c>
      <c r="E5" s="32">
        <v>30</v>
      </c>
      <c r="F5" s="32">
        <v>15</v>
      </c>
      <c r="G5" s="32">
        <v>13</v>
      </c>
      <c r="H5" s="34">
        <f t="shared" si="0"/>
        <v>2</v>
      </c>
      <c r="I5" s="35">
        <f t="shared" si="1"/>
        <v>0.8666666666666667</v>
      </c>
      <c r="J5" s="33" t="s">
        <v>287</v>
      </c>
    </row>
    <row r="6" spans="1:10" x14ac:dyDescent="0.25">
      <c r="A6" s="52">
        <f ca="1">TODAY()</f>
        <v>46219</v>
      </c>
      <c r="B6" s="31" t="s">
        <v>30</v>
      </c>
      <c r="C6" s="31" t="s">
        <v>288</v>
      </c>
      <c r="D6" s="30" t="s">
        <v>284</v>
      </c>
      <c r="E6" s="30">
        <v>60</v>
      </c>
      <c r="F6" s="30">
        <v>20</v>
      </c>
      <c r="G6" s="30">
        <v>20</v>
      </c>
      <c r="H6" s="19">
        <f t="shared" si="0"/>
        <v>0</v>
      </c>
      <c r="I6" s="28">
        <f t="shared" si="1"/>
        <v>1</v>
      </c>
      <c r="J6" s="31"/>
    </row>
    <row r="7" spans="1:10" ht="30" x14ac:dyDescent="0.25">
      <c r="A7" s="52">
        <f ca="1">TODAY()</f>
        <v>46219</v>
      </c>
      <c r="B7" s="54" t="s">
        <v>33</v>
      </c>
      <c r="C7" s="33" t="s">
        <v>58</v>
      </c>
      <c r="D7" s="32" t="s">
        <v>284</v>
      </c>
      <c r="E7" s="32">
        <v>60</v>
      </c>
      <c r="F7" s="32">
        <v>20</v>
      </c>
      <c r="G7" s="32">
        <v>20</v>
      </c>
      <c r="H7" s="34">
        <f t="shared" si="0"/>
        <v>0</v>
      </c>
      <c r="I7" s="35">
        <f t="shared" si="1"/>
        <v>1</v>
      </c>
      <c r="J7" s="33"/>
    </row>
    <row r="8" spans="1:10" x14ac:dyDescent="0.25">
      <c r="A8" s="30"/>
      <c r="B8" s="31"/>
      <c r="C8" s="31"/>
      <c r="D8" s="30"/>
      <c r="E8" s="30"/>
      <c r="F8" s="30"/>
      <c r="G8" s="30"/>
      <c r="H8" s="19" t="str">
        <f t="shared" si="0"/>
        <v/>
      </c>
      <c r="I8" s="28">
        <f t="shared" si="1"/>
        <v>0</v>
      </c>
      <c r="J8" s="31"/>
    </row>
    <row r="9" spans="1:10" x14ac:dyDescent="0.25">
      <c r="A9" s="32"/>
      <c r="B9" s="33"/>
      <c r="C9" s="33"/>
      <c r="D9" s="32"/>
      <c r="E9" s="32"/>
      <c r="F9" s="32"/>
      <c r="G9" s="32"/>
      <c r="H9" s="34" t="str">
        <f t="shared" si="0"/>
        <v/>
      </c>
      <c r="I9" s="35">
        <f t="shared" si="1"/>
        <v>0</v>
      </c>
      <c r="J9" s="33"/>
    </row>
    <row r="10" spans="1:10" x14ac:dyDescent="0.25">
      <c r="A10" s="30"/>
      <c r="B10" s="31"/>
      <c r="C10" s="31"/>
      <c r="D10" s="30"/>
      <c r="E10" s="30"/>
      <c r="F10" s="30"/>
      <c r="G10" s="30"/>
      <c r="H10" s="19" t="str">
        <f t="shared" si="0"/>
        <v/>
      </c>
      <c r="I10" s="28">
        <f t="shared" si="1"/>
        <v>0</v>
      </c>
      <c r="J10" s="31"/>
    </row>
    <row r="11" spans="1:10" x14ac:dyDescent="0.25">
      <c r="A11" s="32"/>
      <c r="B11" s="33"/>
      <c r="C11" s="33"/>
      <c r="D11" s="32"/>
      <c r="E11" s="32"/>
      <c r="F11" s="32"/>
      <c r="G11" s="32"/>
      <c r="H11" s="34" t="str">
        <f t="shared" si="0"/>
        <v/>
      </c>
      <c r="I11" s="35">
        <f t="shared" si="1"/>
        <v>0</v>
      </c>
      <c r="J11" s="33"/>
    </row>
    <row r="12" spans="1:10" x14ac:dyDescent="0.25">
      <c r="A12" s="30"/>
      <c r="B12" s="31"/>
      <c r="C12" s="31"/>
      <c r="D12" s="30"/>
      <c r="E12" s="30"/>
      <c r="F12" s="30"/>
      <c r="G12" s="30"/>
      <c r="H12" s="19" t="str">
        <f t="shared" si="0"/>
        <v/>
      </c>
      <c r="I12" s="28">
        <f t="shared" si="1"/>
        <v>0</v>
      </c>
      <c r="J12" s="31"/>
    </row>
    <row r="13" spans="1:10" x14ac:dyDescent="0.25">
      <c r="A13" s="32"/>
      <c r="B13" s="33"/>
      <c r="C13" s="33"/>
      <c r="D13" s="32"/>
      <c r="E13" s="32"/>
      <c r="F13" s="32"/>
      <c r="G13" s="32"/>
      <c r="H13" s="34" t="str">
        <f t="shared" si="0"/>
        <v/>
      </c>
      <c r="I13" s="35">
        <f t="shared" si="1"/>
        <v>0</v>
      </c>
      <c r="J13" s="33"/>
    </row>
    <row r="14" spans="1:10" x14ac:dyDescent="0.25">
      <c r="A14" s="30"/>
      <c r="B14" s="31"/>
      <c r="C14" s="31"/>
      <c r="D14" s="30"/>
      <c r="E14" s="30"/>
      <c r="F14" s="30"/>
      <c r="G14" s="30"/>
      <c r="H14" s="19" t="str">
        <f t="shared" si="0"/>
        <v/>
      </c>
      <c r="I14" s="28">
        <f t="shared" si="1"/>
        <v>0</v>
      </c>
      <c r="J14" s="31"/>
    </row>
    <row r="15" spans="1:10" x14ac:dyDescent="0.25">
      <c r="A15" s="32"/>
      <c r="B15" s="33"/>
      <c r="C15" s="33"/>
      <c r="D15" s="32"/>
      <c r="E15" s="32"/>
      <c r="F15" s="32"/>
      <c r="G15" s="32"/>
      <c r="H15" s="34" t="str">
        <f t="shared" si="0"/>
        <v/>
      </c>
      <c r="I15" s="35">
        <f t="shared" si="1"/>
        <v>0</v>
      </c>
      <c r="J15" s="33"/>
    </row>
    <row r="16" spans="1:10" x14ac:dyDescent="0.25">
      <c r="A16" s="30"/>
      <c r="B16" s="31"/>
      <c r="C16" s="31"/>
      <c r="D16" s="30"/>
      <c r="E16" s="30"/>
      <c r="F16" s="30"/>
      <c r="G16" s="30"/>
      <c r="H16" s="19" t="str">
        <f t="shared" si="0"/>
        <v/>
      </c>
      <c r="I16" s="28">
        <f t="shared" si="1"/>
        <v>0</v>
      </c>
      <c r="J16" s="31"/>
    </row>
    <row r="17" spans="1:10" x14ac:dyDescent="0.25">
      <c r="A17" s="32"/>
      <c r="B17" s="33"/>
      <c r="C17" s="33"/>
      <c r="D17" s="32"/>
      <c r="E17" s="32"/>
      <c r="F17" s="32"/>
      <c r="G17" s="32"/>
      <c r="H17" s="34" t="str">
        <f t="shared" si="0"/>
        <v/>
      </c>
      <c r="I17" s="35">
        <f t="shared" si="1"/>
        <v>0</v>
      </c>
      <c r="J17" s="33"/>
    </row>
    <row r="18" spans="1:10" x14ac:dyDescent="0.25">
      <c r="A18" s="30"/>
      <c r="B18" s="31"/>
      <c r="C18" s="31"/>
      <c r="D18" s="30"/>
      <c r="E18" s="30"/>
      <c r="F18" s="30"/>
      <c r="G18" s="30"/>
      <c r="H18" s="19" t="str">
        <f t="shared" si="0"/>
        <v/>
      </c>
      <c r="I18" s="28">
        <f t="shared" si="1"/>
        <v>0</v>
      </c>
      <c r="J18" s="31"/>
    </row>
    <row r="19" spans="1:10" x14ac:dyDescent="0.25">
      <c r="A19" s="32"/>
      <c r="B19" s="33"/>
      <c r="C19" s="33"/>
      <c r="D19" s="32"/>
      <c r="E19" s="32"/>
      <c r="F19" s="32"/>
      <c r="G19" s="32"/>
      <c r="H19" s="34" t="str">
        <f t="shared" si="0"/>
        <v/>
      </c>
      <c r="I19" s="35">
        <f t="shared" si="1"/>
        <v>0</v>
      </c>
      <c r="J19" s="33"/>
    </row>
    <row r="20" spans="1:10" x14ac:dyDescent="0.25">
      <c r="A20" s="30"/>
      <c r="B20" s="31"/>
      <c r="C20" s="31"/>
      <c r="D20" s="30"/>
      <c r="E20" s="30"/>
      <c r="F20" s="30"/>
      <c r="G20" s="30"/>
      <c r="H20" s="19" t="str">
        <f t="shared" si="0"/>
        <v/>
      </c>
      <c r="I20" s="28">
        <f t="shared" si="1"/>
        <v>0</v>
      </c>
      <c r="J20" s="31"/>
    </row>
    <row r="21" spans="1:10" x14ac:dyDescent="0.25">
      <c r="A21" s="32"/>
      <c r="B21" s="33"/>
      <c r="C21" s="33"/>
      <c r="D21" s="32"/>
      <c r="E21" s="32"/>
      <c r="F21" s="32"/>
      <c r="G21" s="32"/>
      <c r="H21" s="34" t="str">
        <f t="shared" si="0"/>
        <v/>
      </c>
      <c r="I21" s="35">
        <f t="shared" si="1"/>
        <v>0</v>
      </c>
      <c r="J21" s="33"/>
    </row>
    <row r="22" spans="1:10" x14ac:dyDescent="0.25">
      <c r="A22" s="30"/>
      <c r="B22" s="31"/>
      <c r="C22" s="31"/>
      <c r="D22" s="30"/>
      <c r="E22" s="30"/>
      <c r="F22" s="30"/>
      <c r="G22" s="30"/>
      <c r="H22" s="19" t="str">
        <f t="shared" si="0"/>
        <v/>
      </c>
      <c r="I22" s="28">
        <f t="shared" si="1"/>
        <v>0</v>
      </c>
      <c r="J22" s="31"/>
    </row>
    <row r="23" spans="1:10" x14ac:dyDescent="0.25">
      <c r="A23" s="32"/>
      <c r="B23" s="33"/>
      <c r="C23" s="33"/>
      <c r="D23" s="32"/>
      <c r="E23" s="32"/>
      <c r="F23" s="32"/>
      <c r="G23" s="32"/>
      <c r="H23" s="34" t="str">
        <f t="shared" si="0"/>
        <v/>
      </c>
      <c r="I23" s="35">
        <f t="shared" si="1"/>
        <v>0</v>
      </c>
      <c r="J23" s="33"/>
    </row>
    <row r="24" spans="1:10" x14ac:dyDescent="0.25">
      <c r="A24" s="30"/>
      <c r="B24" s="31"/>
      <c r="C24" s="31"/>
      <c r="D24" s="30"/>
      <c r="E24" s="30"/>
      <c r="F24" s="30"/>
      <c r="G24" s="30"/>
      <c r="H24" s="19" t="str">
        <f t="shared" si="0"/>
        <v/>
      </c>
      <c r="I24" s="28">
        <f t="shared" si="1"/>
        <v>0</v>
      </c>
      <c r="J24" s="31"/>
    </row>
    <row r="25" spans="1:10" x14ac:dyDescent="0.25">
      <c r="A25" s="32"/>
      <c r="B25" s="33"/>
      <c r="C25" s="33"/>
      <c r="D25" s="32"/>
      <c r="E25" s="32"/>
      <c r="F25" s="32"/>
      <c r="G25" s="32"/>
      <c r="H25" s="34" t="str">
        <f t="shared" si="0"/>
        <v/>
      </c>
      <c r="I25" s="35">
        <f t="shared" si="1"/>
        <v>0</v>
      </c>
      <c r="J25" s="33"/>
    </row>
    <row r="26" spans="1:10" x14ac:dyDescent="0.25">
      <c r="A26" s="30"/>
      <c r="B26" s="31"/>
      <c r="C26" s="31"/>
      <c r="D26" s="30"/>
      <c r="E26" s="30"/>
      <c r="F26" s="30"/>
      <c r="G26" s="30"/>
      <c r="H26" s="19" t="str">
        <f t="shared" si="0"/>
        <v/>
      </c>
      <c r="I26" s="28">
        <f t="shared" si="1"/>
        <v>0</v>
      </c>
      <c r="J26" s="31"/>
    </row>
    <row r="27" spans="1:10" x14ac:dyDescent="0.25">
      <c r="A27" s="32"/>
      <c r="B27" s="33"/>
      <c r="C27" s="33"/>
      <c r="D27" s="32"/>
      <c r="E27" s="32"/>
      <c r="F27" s="32"/>
      <c r="G27" s="32"/>
      <c r="H27" s="34" t="str">
        <f t="shared" si="0"/>
        <v/>
      </c>
      <c r="I27" s="35">
        <f t="shared" si="1"/>
        <v>0</v>
      </c>
      <c r="J27" s="33"/>
    </row>
    <row r="28" spans="1:10" x14ac:dyDescent="0.25">
      <c r="A28" s="30"/>
      <c r="B28" s="31"/>
      <c r="C28" s="31"/>
      <c r="D28" s="30"/>
      <c r="E28" s="30"/>
      <c r="F28" s="30"/>
      <c r="G28" s="30"/>
      <c r="H28" s="19" t="str">
        <f t="shared" si="0"/>
        <v/>
      </c>
      <c r="I28" s="28">
        <f t="shared" si="1"/>
        <v>0</v>
      </c>
      <c r="J28" s="31"/>
    </row>
    <row r="29" spans="1:10" x14ac:dyDescent="0.25">
      <c r="A29" s="32"/>
      <c r="B29" s="33"/>
      <c r="C29" s="33"/>
      <c r="D29" s="32"/>
      <c r="E29" s="32"/>
      <c r="F29" s="32"/>
      <c r="G29" s="32"/>
      <c r="H29" s="34" t="str">
        <f t="shared" si="0"/>
        <v/>
      </c>
      <c r="I29" s="35">
        <f t="shared" si="1"/>
        <v>0</v>
      </c>
      <c r="J29" s="33"/>
    </row>
    <row r="30" spans="1:10" x14ac:dyDescent="0.25">
      <c r="A30" s="30"/>
      <c r="B30" s="31"/>
      <c r="C30" s="31"/>
      <c r="D30" s="30"/>
      <c r="E30" s="30"/>
      <c r="F30" s="30"/>
      <c r="G30" s="30"/>
      <c r="H30" s="19" t="str">
        <f t="shared" si="0"/>
        <v/>
      </c>
      <c r="I30" s="28">
        <f t="shared" si="1"/>
        <v>0</v>
      </c>
      <c r="J30" s="31"/>
    </row>
    <row r="31" spans="1:10" x14ac:dyDescent="0.25">
      <c r="A31" s="32"/>
      <c r="B31" s="33"/>
      <c r="C31" s="33"/>
      <c r="D31" s="32"/>
      <c r="E31" s="32"/>
      <c r="F31" s="32"/>
      <c r="G31" s="32"/>
      <c r="H31" s="34" t="str">
        <f t="shared" si="0"/>
        <v/>
      </c>
      <c r="I31" s="35">
        <f t="shared" si="1"/>
        <v>0</v>
      </c>
      <c r="J31" s="33"/>
    </row>
    <row r="32" spans="1:10" x14ac:dyDescent="0.25">
      <c r="A32" s="30"/>
      <c r="B32" s="31"/>
      <c r="C32" s="31"/>
      <c r="D32" s="30"/>
      <c r="E32" s="30"/>
      <c r="F32" s="30"/>
      <c r="G32" s="30"/>
      <c r="H32" s="19" t="str">
        <f t="shared" si="0"/>
        <v/>
      </c>
      <c r="I32" s="28">
        <f t="shared" si="1"/>
        <v>0</v>
      </c>
      <c r="J32" s="31"/>
    </row>
    <row r="33" spans="1:10" x14ac:dyDescent="0.25">
      <c r="A33" s="32"/>
      <c r="B33" s="33"/>
      <c r="C33" s="33"/>
      <c r="D33" s="32"/>
      <c r="E33" s="32"/>
      <c r="F33" s="32"/>
      <c r="G33" s="32"/>
      <c r="H33" s="34" t="str">
        <f t="shared" si="0"/>
        <v/>
      </c>
      <c r="I33" s="35">
        <f t="shared" si="1"/>
        <v>0</v>
      </c>
      <c r="J33" s="33"/>
    </row>
    <row r="34" spans="1:10" x14ac:dyDescent="0.25">
      <c r="A34" s="30"/>
      <c r="B34" s="31"/>
      <c r="C34" s="31"/>
      <c r="D34" s="30"/>
      <c r="E34" s="30"/>
      <c r="F34" s="30"/>
      <c r="G34" s="30"/>
      <c r="H34" s="19" t="str">
        <f t="shared" si="0"/>
        <v/>
      </c>
      <c r="I34" s="28">
        <f t="shared" si="1"/>
        <v>0</v>
      </c>
      <c r="J34" s="31"/>
    </row>
    <row r="35" spans="1:10" x14ac:dyDescent="0.25">
      <c r="A35" s="32"/>
      <c r="B35" s="33"/>
      <c r="C35" s="33"/>
      <c r="D35" s="32"/>
      <c r="E35" s="32"/>
      <c r="F35" s="32"/>
      <c r="G35" s="32"/>
      <c r="H35" s="34" t="str">
        <f t="shared" si="0"/>
        <v/>
      </c>
      <c r="I35" s="35">
        <f t="shared" si="1"/>
        <v>0</v>
      </c>
      <c r="J35" s="33"/>
    </row>
    <row r="36" spans="1:10" x14ac:dyDescent="0.25">
      <c r="A36" s="30"/>
      <c r="B36" s="31"/>
      <c r="C36" s="31"/>
      <c r="D36" s="30"/>
      <c r="E36" s="30"/>
      <c r="F36" s="30"/>
      <c r="G36" s="30"/>
      <c r="H36" s="19" t="str">
        <f t="shared" si="0"/>
        <v/>
      </c>
      <c r="I36" s="28">
        <f t="shared" si="1"/>
        <v>0</v>
      </c>
      <c r="J36" s="31"/>
    </row>
    <row r="37" spans="1:10" x14ac:dyDescent="0.25">
      <c r="A37" s="32"/>
      <c r="B37" s="33"/>
      <c r="C37" s="33"/>
      <c r="D37" s="32"/>
      <c r="E37" s="32"/>
      <c r="F37" s="32"/>
      <c r="G37" s="32"/>
      <c r="H37" s="34" t="str">
        <f t="shared" si="0"/>
        <v/>
      </c>
      <c r="I37" s="35">
        <f t="shared" si="1"/>
        <v>0</v>
      </c>
      <c r="J37" s="33"/>
    </row>
    <row r="38" spans="1:10" x14ac:dyDescent="0.25">
      <c r="A38" s="30"/>
      <c r="B38" s="31"/>
      <c r="C38" s="31"/>
      <c r="D38" s="30"/>
      <c r="E38" s="30"/>
      <c r="F38" s="30"/>
      <c r="G38" s="30"/>
      <c r="H38" s="19" t="str">
        <f t="shared" si="0"/>
        <v/>
      </c>
      <c r="I38" s="28">
        <f t="shared" si="1"/>
        <v>0</v>
      </c>
      <c r="J38" s="31"/>
    </row>
    <row r="39" spans="1:10" x14ac:dyDescent="0.25">
      <c r="A39" s="32"/>
      <c r="B39" s="33"/>
      <c r="C39" s="33"/>
      <c r="D39" s="32"/>
      <c r="E39" s="32"/>
      <c r="F39" s="32"/>
      <c r="G39" s="32"/>
      <c r="H39" s="34" t="str">
        <f t="shared" si="0"/>
        <v/>
      </c>
      <c r="I39" s="35">
        <f t="shared" si="1"/>
        <v>0</v>
      </c>
      <c r="J39" s="33"/>
    </row>
    <row r="40" spans="1:10" x14ac:dyDescent="0.25">
      <c r="A40" s="30"/>
      <c r="B40" s="31"/>
      <c r="C40" s="31"/>
      <c r="D40" s="30"/>
      <c r="E40" s="30"/>
      <c r="F40" s="30"/>
      <c r="G40" s="30"/>
      <c r="H40" s="19" t="str">
        <f t="shared" si="0"/>
        <v/>
      </c>
      <c r="I40" s="28">
        <f t="shared" si="1"/>
        <v>0</v>
      </c>
      <c r="J40" s="31"/>
    </row>
    <row r="41" spans="1:10" x14ac:dyDescent="0.25">
      <c r="A41" s="32"/>
      <c r="B41" s="33"/>
      <c r="C41" s="33"/>
      <c r="D41" s="32"/>
      <c r="E41" s="32"/>
      <c r="F41" s="32"/>
      <c r="G41" s="32"/>
      <c r="H41" s="34" t="str">
        <f t="shared" si="0"/>
        <v/>
      </c>
      <c r="I41" s="35">
        <f t="shared" si="1"/>
        <v>0</v>
      </c>
      <c r="J41" s="33"/>
    </row>
    <row r="42" spans="1:10" x14ac:dyDescent="0.25">
      <c r="A42" s="30"/>
      <c r="B42" s="31"/>
      <c r="C42" s="31"/>
      <c r="D42" s="30"/>
      <c r="E42" s="30"/>
      <c r="F42" s="30"/>
      <c r="G42" s="30"/>
      <c r="H42" s="19" t="str">
        <f t="shared" si="0"/>
        <v/>
      </c>
      <c r="I42" s="28">
        <f t="shared" si="1"/>
        <v>0</v>
      </c>
      <c r="J42" s="31"/>
    </row>
    <row r="43" spans="1:10" x14ac:dyDescent="0.25">
      <c r="A43" s="32"/>
      <c r="B43" s="33"/>
      <c r="C43" s="33"/>
      <c r="D43" s="32"/>
      <c r="E43" s="32"/>
      <c r="F43" s="32"/>
      <c r="G43" s="32"/>
      <c r="H43" s="34" t="str">
        <f t="shared" si="0"/>
        <v/>
      </c>
      <c r="I43" s="35">
        <f t="shared" si="1"/>
        <v>0</v>
      </c>
      <c r="J43" s="33"/>
    </row>
    <row r="44" spans="1:10" x14ac:dyDescent="0.25">
      <c r="A44" s="30"/>
      <c r="B44" s="31"/>
      <c r="C44" s="31"/>
      <c r="D44" s="30"/>
      <c r="E44" s="30"/>
      <c r="F44" s="30"/>
      <c r="G44" s="30"/>
      <c r="H44" s="19" t="str">
        <f t="shared" si="0"/>
        <v/>
      </c>
      <c r="I44" s="28">
        <f t="shared" si="1"/>
        <v>0</v>
      </c>
      <c r="J44" s="31"/>
    </row>
    <row r="45" spans="1:10" x14ac:dyDescent="0.25">
      <c r="A45" s="32"/>
      <c r="B45" s="33"/>
      <c r="C45" s="33"/>
      <c r="D45" s="32"/>
      <c r="E45" s="32"/>
      <c r="F45" s="32"/>
      <c r="G45" s="32"/>
      <c r="H45" s="34" t="str">
        <f t="shared" si="0"/>
        <v/>
      </c>
      <c r="I45" s="35">
        <f t="shared" si="1"/>
        <v>0</v>
      </c>
      <c r="J45" s="33"/>
    </row>
    <row r="46" spans="1:10" x14ac:dyDescent="0.25">
      <c r="A46" s="30"/>
      <c r="B46" s="31"/>
      <c r="C46" s="31"/>
      <c r="D46" s="30"/>
      <c r="E46" s="30"/>
      <c r="F46" s="30"/>
      <c r="G46" s="30"/>
      <c r="H46" s="19" t="str">
        <f t="shared" si="0"/>
        <v/>
      </c>
      <c r="I46" s="28">
        <f t="shared" si="1"/>
        <v>0</v>
      </c>
      <c r="J46" s="31"/>
    </row>
    <row r="47" spans="1:10" x14ac:dyDescent="0.25">
      <c r="A47" s="32"/>
      <c r="B47" s="33"/>
      <c r="C47" s="33"/>
      <c r="D47" s="32"/>
      <c r="E47" s="32"/>
      <c r="F47" s="32"/>
      <c r="G47" s="32"/>
      <c r="H47" s="34" t="str">
        <f t="shared" si="0"/>
        <v/>
      </c>
      <c r="I47" s="35">
        <f t="shared" si="1"/>
        <v>0</v>
      </c>
      <c r="J47" s="33"/>
    </row>
    <row r="48" spans="1:10" x14ac:dyDescent="0.25">
      <c r="A48" s="30"/>
      <c r="B48" s="31"/>
      <c r="C48" s="31"/>
      <c r="D48" s="30"/>
      <c r="E48" s="30"/>
      <c r="F48" s="30"/>
      <c r="G48" s="30"/>
      <c r="H48" s="19" t="str">
        <f t="shared" si="0"/>
        <v/>
      </c>
      <c r="I48" s="28">
        <f t="shared" si="1"/>
        <v>0</v>
      </c>
      <c r="J48" s="31"/>
    </row>
    <row r="49" spans="1:10" x14ac:dyDescent="0.25">
      <c r="A49" s="32"/>
      <c r="B49" s="33"/>
      <c r="C49" s="33"/>
      <c r="D49" s="32"/>
      <c r="E49" s="32"/>
      <c r="F49" s="32"/>
      <c r="G49" s="32"/>
      <c r="H49" s="34" t="str">
        <f t="shared" si="0"/>
        <v/>
      </c>
      <c r="I49" s="35">
        <f t="shared" si="1"/>
        <v>0</v>
      </c>
      <c r="J49" s="33"/>
    </row>
    <row r="50" spans="1:10" x14ac:dyDescent="0.25">
      <c r="A50" s="30"/>
      <c r="B50" s="31"/>
      <c r="C50" s="31"/>
      <c r="D50" s="30"/>
      <c r="E50" s="30"/>
      <c r="F50" s="30"/>
      <c r="G50" s="30"/>
      <c r="H50" s="19" t="str">
        <f t="shared" si="0"/>
        <v/>
      </c>
      <c r="I50" s="28">
        <f t="shared" si="1"/>
        <v>0</v>
      </c>
      <c r="J50" s="31"/>
    </row>
    <row r="51" spans="1:10" x14ac:dyDescent="0.25">
      <c r="A51" s="32"/>
      <c r="B51" s="33"/>
      <c r="C51" s="33"/>
      <c r="D51" s="32"/>
      <c r="E51" s="32"/>
      <c r="F51" s="32"/>
      <c r="G51" s="32"/>
      <c r="H51" s="34" t="str">
        <f t="shared" si="0"/>
        <v/>
      </c>
      <c r="I51" s="35">
        <f t="shared" si="1"/>
        <v>0</v>
      </c>
      <c r="J51" s="33"/>
    </row>
    <row r="52" spans="1:10" x14ac:dyDescent="0.25">
      <c r="A52" s="30"/>
      <c r="B52" s="31"/>
      <c r="C52" s="31"/>
      <c r="D52" s="30"/>
      <c r="E52" s="30"/>
      <c r="F52" s="30"/>
      <c r="G52" s="30"/>
      <c r="H52" s="19" t="str">
        <f t="shared" si="0"/>
        <v/>
      </c>
      <c r="I52" s="28">
        <f t="shared" si="1"/>
        <v>0</v>
      </c>
      <c r="J52" s="31"/>
    </row>
    <row r="53" spans="1:10" x14ac:dyDescent="0.25">
      <c r="A53" s="32"/>
      <c r="B53" s="33"/>
      <c r="C53" s="33"/>
      <c r="D53" s="32"/>
      <c r="E53" s="32"/>
      <c r="F53" s="32"/>
      <c r="G53" s="32"/>
      <c r="H53" s="34" t="str">
        <f t="shared" si="0"/>
        <v/>
      </c>
      <c r="I53" s="35">
        <f t="shared" si="1"/>
        <v>0</v>
      </c>
      <c r="J53" s="33"/>
    </row>
    <row r="54" spans="1:10" x14ac:dyDescent="0.25">
      <c r="A54" s="30"/>
      <c r="B54" s="31"/>
      <c r="C54" s="31"/>
      <c r="D54" s="30"/>
      <c r="E54" s="30"/>
      <c r="F54" s="30"/>
      <c r="G54" s="30"/>
      <c r="H54" s="19" t="str">
        <f t="shared" si="0"/>
        <v/>
      </c>
      <c r="I54" s="28">
        <f t="shared" si="1"/>
        <v>0</v>
      </c>
      <c r="J54" s="31"/>
    </row>
    <row r="55" spans="1:10" x14ac:dyDescent="0.25">
      <c r="A55" s="32"/>
      <c r="B55" s="33"/>
      <c r="C55" s="33"/>
      <c r="D55" s="32"/>
      <c r="E55" s="32"/>
      <c r="F55" s="32"/>
      <c r="G55" s="32"/>
      <c r="H55" s="34" t="str">
        <f t="shared" si="0"/>
        <v/>
      </c>
      <c r="I55" s="35">
        <f t="shared" si="1"/>
        <v>0</v>
      </c>
      <c r="J55" s="33"/>
    </row>
    <row r="56" spans="1:10" x14ac:dyDescent="0.25">
      <c r="A56" s="30"/>
      <c r="B56" s="31"/>
      <c r="C56" s="31"/>
      <c r="D56" s="30"/>
      <c r="E56" s="30"/>
      <c r="F56" s="30"/>
      <c r="G56" s="30"/>
      <c r="H56" s="19" t="str">
        <f t="shared" si="0"/>
        <v/>
      </c>
      <c r="I56" s="28">
        <f t="shared" si="1"/>
        <v>0</v>
      </c>
      <c r="J56" s="31"/>
    </row>
    <row r="57" spans="1:10" x14ac:dyDescent="0.25">
      <c r="A57" s="32"/>
      <c r="B57" s="33"/>
      <c r="C57" s="33"/>
      <c r="D57" s="32"/>
      <c r="E57" s="32"/>
      <c r="F57" s="32"/>
      <c r="G57" s="32"/>
      <c r="H57" s="34" t="str">
        <f t="shared" si="0"/>
        <v/>
      </c>
      <c r="I57" s="35">
        <f t="shared" si="1"/>
        <v>0</v>
      </c>
      <c r="J57" s="33"/>
    </row>
    <row r="58" spans="1:10" x14ac:dyDescent="0.25">
      <c r="A58" s="30"/>
      <c r="B58" s="31"/>
      <c r="C58" s="31"/>
      <c r="D58" s="30"/>
      <c r="E58" s="30"/>
      <c r="F58" s="30"/>
      <c r="G58" s="30"/>
      <c r="H58" s="19" t="str">
        <f t="shared" si="0"/>
        <v/>
      </c>
      <c r="I58" s="28">
        <f t="shared" si="1"/>
        <v>0</v>
      </c>
      <c r="J58" s="31"/>
    </row>
    <row r="59" spans="1:10" x14ac:dyDescent="0.25">
      <c r="A59" s="32"/>
      <c r="B59" s="33"/>
      <c r="C59" s="33"/>
      <c r="D59" s="32"/>
      <c r="E59" s="32"/>
      <c r="F59" s="32"/>
      <c r="G59" s="32"/>
      <c r="H59" s="34" t="str">
        <f t="shared" si="0"/>
        <v/>
      </c>
      <c r="I59" s="35">
        <f t="shared" si="1"/>
        <v>0</v>
      </c>
      <c r="J59" s="33"/>
    </row>
    <row r="60" spans="1:10" x14ac:dyDescent="0.25">
      <c r="A60" s="30"/>
      <c r="B60" s="31"/>
      <c r="C60" s="31"/>
      <c r="D60" s="30"/>
      <c r="E60" s="30"/>
      <c r="F60" s="30"/>
      <c r="G60" s="30"/>
      <c r="H60" s="19" t="str">
        <f t="shared" si="0"/>
        <v/>
      </c>
      <c r="I60" s="28">
        <f t="shared" si="1"/>
        <v>0</v>
      </c>
      <c r="J60" s="31"/>
    </row>
    <row r="61" spans="1:10" x14ac:dyDescent="0.25">
      <c r="A61" s="32"/>
      <c r="B61" s="33"/>
      <c r="C61" s="33"/>
      <c r="D61" s="32"/>
      <c r="E61" s="32"/>
      <c r="F61" s="32"/>
      <c r="G61" s="32"/>
      <c r="H61" s="34" t="str">
        <f t="shared" si="0"/>
        <v/>
      </c>
      <c r="I61" s="35">
        <f t="shared" si="1"/>
        <v>0</v>
      </c>
      <c r="J61" s="33"/>
    </row>
    <row r="62" spans="1:10" x14ac:dyDescent="0.25">
      <c r="A62" s="30"/>
      <c r="B62" s="31"/>
      <c r="C62" s="31"/>
      <c r="D62" s="30"/>
      <c r="E62" s="30"/>
      <c r="F62" s="30"/>
      <c r="G62" s="30"/>
      <c r="H62" s="19" t="str">
        <f t="shared" si="0"/>
        <v/>
      </c>
      <c r="I62" s="28">
        <f t="shared" si="1"/>
        <v>0</v>
      </c>
      <c r="J62" s="31"/>
    </row>
    <row r="63" spans="1:10" x14ac:dyDescent="0.25">
      <c r="A63" s="32"/>
      <c r="B63" s="33"/>
      <c r="C63" s="33"/>
      <c r="D63" s="32"/>
      <c r="E63" s="32"/>
      <c r="F63" s="32"/>
      <c r="G63" s="32"/>
      <c r="H63" s="34" t="str">
        <f t="shared" si="0"/>
        <v/>
      </c>
      <c r="I63" s="35">
        <f t="shared" si="1"/>
        <v>0</v>
      </c>
      <c r="J63" s="33"/>
    </row>
    <row r="64" spans="1:10" x14ac:dyDescent="0.25">
      <c r="A64" s="30"/>
      <c r="B64" s="31"/>
      <c r="C64" s="31"/>
      <c r="D64" s="30"/>
      <c r="E64" s="30"/>
      <c r="F64" s="30"/>
      <c r="G64" s="30"/>
      <c r="H64" s="19" t="str">
        <f t="shared" si="0"/>
        <v/>
      </c>
      <c r="I64" s="28">
        <f t="shared" si="1"/>
        <v>0</v>
      </c>
      <c r="J64" s="31"/>
    </row>
    <row r="65" spans="1:10" x14ac:dyDescent="0.25">
      <c r="A65" s="32"/>
      <c r="B65" s="33"/>
      <c r="C65" s="33"/>
      <c r="D65" s="32"/>
      <c r="E65" s="32"/>
      <c r="F65" s="32"/>
      <c r="G65" s="32"/>
      <c r="H65" s="34" t="str">
        <f t="shared" si="0"/>
        <v/>
      </c>
      <c r="I65" s="35">
        <f t="shared" si="1"/>
        <v>0</v>
      </c>
      <c r="J65" s="33"/>
    </row>
    <row r="66" spans="1:10" x14ac:dyDescent="0.25">
      <c r="A66" s="30"/>
      <c r="B66" s="31"/>
      <c r="C66" s="31"/>
      <c r="D66" s="30"/>
      <c r="E66" s="30"/>
      <c r="F66" s="30"/>
      <c r="G66" s="30"/>
      <c r="H66" s="19" t="str">
        <f t="shared" ref="H66:H129" si="2">IF(F66&gt;0, F66-G66, "")</f>
        <v/>
      </c>
      <c r="I66" s="28">
        <f t="shared" ref="I66:I129" si="3">IF(F66&gt;0, G66/F66, 0)</f>
        <v>0</v>
      </c>
      <c r="J66" s="31"/>
    </row>
    <row r="67" spans="1:10" x14ac:dyDescent="0.25">
      <c r="A67" s="32"/>
      <c r="B67" s="33"/>
      <c r="C67" s="33"/>
      <c r="D67" s="32"/>
      <c r="E67" s="32"/>
      <c r="F67" s="32"/>
      <c r="G67" s="32"/>
      <c r="H67" s="34" t="str">
        <f t="shared" si="2"/>
        <v/>
      </c>
      <c r="I67" s="35">
        <f t="shared" si="3"/>
        <v>0</v>
      </c>
      <c r="J67" s="33"/>
    </row>
    <row r="68" spans="1:10" x14ac:dyDescent="0.25">
      <c r="A68" s="30"/>
      <c r="B68" s="31"/>
      <c r="C68" s="31"/>
      <c r="D68" s="30"/>
      <c r="E68" s="30"/>
      <c r="F68" s="30"/>
      <c r="G68" s="30"/>
      <c r="H68" s="19" t="str">
        <f t="shared" si="2"/>
        <v/>
      </c>
      <c r="I68" s="28">
        <f t="shared" si="3"/>
        <v>0</v>
      </c>
      <c r="J68" s="31"/>
    </row>
    <row r="69" spans="1:10" x14ac:dyDescent="0.25">
      <c r="A69" s="32"/>
      <c r="B69" s="33"/>
      <c r="C69" s="33"/>
      <c r="D69" s="32"/>
      <c r="E69" s="32"/>
      <c r="F69" s="32"/>
      <c r="G69" s="32"/>
      <c r="H69" s="34" t="str">
        <f t="shared" si="2"/>
        <v/>
      </c>
      <c r="I69" s="35">
        <f t="shared" si="3"/>
        <v>0</v>
      </c>
      <c r="J69" s="33"/>
    </row>
    <row r="70" spans="1:10" x14ac:dyDescent="0.25">
      <c r="A70" s="30"/>
      <c r="B70" s="31"/>
      <c r="C70" s="31"/>
      <c r="D70" s="30"/>
      <c r="E70" s="30"/>
      <c r="F70" s="30"/>
      <c r="G70" s="30"/>
      <c r="H70" s="19" t="str">
        <f t="shared" si="2"/>
        <v/>
      </c>
      <c r="I70" s="28">
        <f t="shared" si="3"/>
        <v>0</v>
      </c>
      <c r="J70" s="31"/>
    </row>
    <row r="71" spans="1:10" x14ac:dyDescent="0.25">
      <c r="A71" s="32"/>
      <c r="B71" s="33"/>
      <c r="C71" s="33"/>
      <c r="D71" s="32"/>
      <c r="E71" s="32"/>
      <c r="F71" s="32"/>
      <c r="G71" s="32"/>
      <c r="H71" s="34" t="str">
        <f t="shared" si="2"/>
        <v/>
      </c>
      <c r="I71" s="35">
        <f t="shared" si="3"/>
        <v>0</v>
      </c>
      <c r="J71" s="33"/>
    </row>
    <row r="72" spans="1:10" x14ac:dyDescent="0.25">
      <c r="A72" s="30"/>
      <c r="B72" s="31"/>
      <c r="C72" s="31"/>
      <c r="D72" s="30"/>
      <c r="E72" s="30"/>
      <c r="F72" s="30"/>
      <c r="G72" s="30"/>
      <c r="H72" s="19" t="str">
        <f t="shared" si="2"/>
        <v/>
      </c>
      <c r="I72" s="28">
        <f t="shared" si="3"/>
        <v>0</v>
      </c>
      <c r="J72" s="31"/>
    </row>
    <row r="73" spans="1:10" x14ac:dyDescent="0.25">
      <c r="A73" s="32"/>
      <c r="B73" s="33"/>
      <c r="C73" s="33"/>
      <c r="D73" s="32"/>
      <c r="E73" s="32"/>
      <c r="F73" s="32"/>
      <c r="G73" s="32"/>
      <c r="H73" s="34" t="str">
        <f t="shared" si="2"/>
        <v/>
      </c>
      <c r="I73" s="35">
        <f t="shared" si="3"/>
        <v>0</v>
      </c>
      <c r="J73" s="33"/>
    </row>
    <row r="74" spans="1:10" x14ac:dyDescent="0.25">
      <c r="A74" s="30"/>
      <c r="B74" s="31"/>
      <c r="C74" s="31"/>
      <c r="D74" s="30"/>
      <c r="E74" s="30"/>
      <c r="F74" s="30"/>
      <c r="G74" s="30"/>
      <c r="H74" s="19" t="str">
        <f t="shared" si="2"/>
        <v/>
      </c>
      <c r="I74" s="28">
        <f t="shared" si="3"/>
        <v>0</v>
      </c>
      <c r="J74" s="31"/>
    </row>
    <row r="75" spans="1:10" x14ac:dyDescent="0.25">
      <c r="A75" s="32"/>
      <c r="B75" s="33"/>
      <c r="C75" s="33"/>
      <c r="D75" s="32"/>
      <c r="E75" s="32"/>
      <c r="F75" s="32"/>
      <c r="G75" s="32"/>
      <c r="H75" s="34" t="str">
        <f t="shared" si="2"/>
        <v/>
      </c>
      <c r="I75" s="35">
        <f t="shared" si="3"/>
        <v>0</v>
      </c>
      <c r="J75" s="33"/>
    </row>
    <row r="76" spans="1:10" x14ac:dyDescent="0.25">
      <c r="A76" s="30"/>
      <c r="B76" s="31"/>
      <c r="C76" s="31"/>
      <c r="D76" s="30"/>
      <c r="E76" s="30"/>
      <c r="F76" s="30"/>
      <c r="G76" s="30"/>
      <c r="H76" s="19" t="str">
        <f t="shared" si="2"/>
        <v/>
      </c>
      <c r="I76" s="28">
        <f t="shared" si="3"/>
        <v>0</v>
      </c>
      <c r="J76" s="31"/>
    </row>
    <row r="77" spans="1:10" x14ac:dyDescent="0.25">
      <c r="A77" s="32"/>
      <c r="B77" s="33"/>
      <c r="C77" s="33"/>
      <c r="D77" s="32"/>
      <c r="E77" s="32"/>
      <c r="F77" s="32"/>
      <c r="G77" s="32"/>
      <c r="H77" s="34" t="str">
        <f t="shared" si="2"/>
        <v/>
      </c>
      <c r="I77" s="35">
        <f t="shared" si="3"/>
        <v>0</v>
      </c>
      <c r="J77" s="33"/>
    </row>
    <row r="78" spans="1:10" x14ac:dyDescent="0.25">
      <c r="A78" s="30"/>
      <c r="B78" s="31"/>
      <c r="C78" s="31"/>
      <c r="D78" s="30"/>
      <c r="E78" s="30"/>
      <c r="F78" s="30"/>
      <c r="G78" s="30"/>
      <c r="H78" s="19" t="str">
        <f t="shared" si="2"/>
        <v/>
      </c>
      <c r="I78" s="28">
        <f t="shared" si="3"/>
        <v>0</v>
      </c>
      <c r="J78" s="31"/>
    </row>
    <row r="79" spans="1:10" x14ac:dyDescent="0.25">
      <c r="A79" s="32"/>
      <c r="B79" s="33"/>
      <c r="C79" s="33"/>
      <c r="D79" s="32"/>
      <c r="E79" s="32"/>
      <c r="F79" s="32"/>
      <c r="G79" s="32"/>
      <c r="H79" s="34" t="str">
        <f t="shared" si="2"/>
        <v/>
      </c>
      <c r="I79" s="35">
        <f t="shared" si="3"/>
        <v>0</v>
      </c>
      <c r="J79" s="33"/>
    </row>
    <row r="80" spans="1:10" x14ac:dyDescent="0.25">
      <c r="A80" s="30"/>
      <c r="B80" s="31"/>
      <c r="C80" s="31"/>
      <c r="D80" s="30"/>
      <c r="E80" s="30"/>
      <c r="F80" s="30"/>
      <c r="G80" s="30"/>
      <c r="H80" s="19" t="str">
        <f t="shared" si="2"/>
        <v/>
      </c>
      <c r="I80" s="28">
        <f t="shared" si="3"/>
        <v>0</v>
      </c>
      <c r="J80" s="31"/>
    </row>
    <row r="81" spans="1:10" x14ac:dyDescent="0.25">
      <c r="A81" s="32"/>
      <c r="B81" s="33"/>
      <c r="C81" s="33"/>
      <c r="D81" s="32"/>
      <c r="E81" s="32"/>
      <c r="F81" s="32"/>
      <c r="G81" s="32"/>
      <c r="H81" s="34" t="str">
        <f t="shared" si="2"/>
        <v/>
      </c>
      <c r="I81" s="35">
        <f t="shared" si="3"/>
        <v>0</v>
      </c>
      <c r="J81" s="33"/>
    </row>
    <row r="82" spans="1:10" x14ac:dyDescent="0.25">
      <c r="A82" s="30"/>
      <c r="B82" s="31"/>
      <c r="C82" s="31"/>
      <c r="D82" s="30"/>
      <c r="E82" s="30"/>
      <c r="F82" s="30"/>
      <c r="G82" s="30"/>
      <c r="H82" s="19" t="str">
        <f t="shared" si="2"/>
        <v/>
      </c>
      <c r="I82" s="28">
        <f t="shared" si="3"/>
        <v>0</v>
      </c>
      <c r="J82" s="31"/>
    </row>
    <row r="83" spans="1:10" x14ac:dyDescent="0.25">
      <c r="A83" s="32"/>
      <c r="B83" s="33"/>
      <c r="C83" s="33"/>
      <c r="D83" s="32"/>
      <c r="E83" s="32"/>
      <c r="F83" s="32"/>
      <c r="G83" s="32"/>
      <c r="H83" s="34" t="str">
        <f t="shared" si="2"/>
        <v/>
      </c>
      <c r="I83" s="35">
        <f t="shared" si="3"/>
        <v>0</v>
      </c>
      <c r="J83" s="33"/>
    </row>
    <row r="84" spans="1:10" x14ac:dyDescent="0.25">
      <c r="A84" s="30"/>
      <c r="B84" s="31"/>
      <c r="C84" s="31"/>
      <c r="D84" s="30"/>
      <c r="E84" s="30"/>
      <c r="F84" s="30"/>
      <c r="G84" s="30"/>
      <c r="H84" s="19" t="str">
        <f t="shared" si="2"/>
        <v/>
      </c>
      <c r="I84" s="28">
        <f t="shared" si="3"/>
        <v>0</v>
      </c>
      <c r="J84" s="31"/>
    </row>
    <row r="85" spans="1:10" x14ac:dyDescent="0.25">
      <c r="A85" s="32"/>
      <c r="B85" s="33"/>
      <c r="C85" s="33"/>
      <c r="D85" s="32"/>
      <c r="E85" s="32"/>
      <c r="F85" s="32"/>
      <c r="G85" s="32"/>
      <c r="H85" s="34" t="str">
        <f t="shared" si="2"/>
        <v/>
      </c>
      <c r="I85" s="35">
        <f t="shared" si="3"/>
        <v>0</v>
      </c>
      <c r="J85" s="33"/>
    </row>
    <row r="86" spans="1:10" x14ac:dyDescent="0.25">
      <c r="A86" s="30"/>
      <c r="B86" s="31"/>
      <c r="C86" s="31"/>
      <c r="D86" s="30"/>
      <c r="E86" s="30"/>
      <c r="F86" s="30"/>
      <c r="G86" s="30"/>
      <c r="H86" s="19" t="str">
        <f t="shared" si="2"/>
        <v/>
      </c>
      <c r="I86" s="28">
        <f t="shared" si="3"/>
        <v>0</v>
      </c>
      <c r="J86" s="31"/>
    </row>
    <row r="87" spans="1:10" x14ac:dyDescent="0.25">
      <c r="A87" s="32"/>
      <c r="B87" s="33"/>
      <c r="C87" s="33"/>
      <c r="D87" s="32"/>
      <c r="E87" s="32"/>
      <c r="F87" s="32"/>
      <c r="G87" s="32"/>
      <c r="H87" s="34" t="str">
        <f t="shared" si="2"/>
        <v/>
      </c>
      <c r="I87" s="35">
        <f t="shared" si="3"/>
        <v>0</v>
      </c>
      <c r="J87" s="33"/>
    </row>
    <row r="88" spans="1:10" x14ac:dyDescent="0.25">
      <c r="A88" s="30"/>
      <c r="B88" s="31"/>
      <c r="C88" s="31"/>
      <c r="D88" s="30"/>
      <c r="E88" s="30"/>
      <c r="F88" s="30"/>
      <c r="G88" s="30"/>
      <c r="H88" s="19" t="str">
        <f t="shared" si="2"/>
        <v/>
      </c>
      <c r="I88" s="28">
        <f t="shared" si="3"/>
        <v>0</v>
      </c>
      <c r="J88" s="31"/>
    </row>
    <row r="89" spans="1:10" x14ac:dyDescent="0.25">
      <c r="A89" s="32"/>
      <c r="B89" s="33"/>
      <c r="C89" s="33"/>
      <c r="D89" s="32"/>
      <c r="E89" s="32"/>
      <c r="F89" s="32"/>
      <c r="G89" s="32"/>
      <c r="H89" s="34" t="str">
        <f t="shared" si="2"/>
        <v/>
      </c>
      <c r="I89" s="35">
        <f t="shared" si="3"/>
        <v>0</v>
      </c>
      <c r="J89" s="33"/>
    </row>
    <row r="90" spans="1:10" x14ac:dyDescent="0.25">
      <c r="A90" s="30"/>
      <c r="B90" s="31"/>
      <c r="C90" s="31"/>
      <c r="D90" s="30"/>
      <c r="E90" s="30"/>
      <c r="F90" s="30"/>
      <c r="G90" s="30"/>
      <c r="H90" s="19" t="str">
        <f t="shared" si="2"/>
        <v/>
      </c>
      <c r="I90" s="28">
        <f t="shared" si="3"/>
        <v>0</v>
      </c>
      <c r="J90" s="31"/>
    </row>
    <row r="91" spans="1:10" x14ac:dyDescent="0.25">
      <c r="A91" s="32"/>
      <c r="B91" s="33"/>
      <c r="C91" s="33"/>
      <c r="D91" s="32"/>
      <c r="E91" s="32"/>
      <c r="F91" s="32"/>
      <c r="G91" s="32"/>
      <c r="H91" s="34" t="str">
        <f t="shared" si="2"/>
        <v/>
      </c>
      <c r="I91" s="35">
        <f t="shared" si="3"/>
        <v>0</v>
      </c>
      <c r="J91" s="33"/>
    </row>
    <row r="92" spans="1:10" x14ac:dyDescent="0.25">
      <c r="A92" s="30"/>
      <c r="B92" s="31"/>
      <c r="C92" s="31"/>
      <c r="D92" s="30"/>
      <c r="E92" s="30"/>
      <c r="F92" s="30"/>
      <c r="G92" s="30"/>
      <c r="H92" s="19" t="str">
        <f t="shared" si="2"/>
        <v/>
      </c>
      <c r="I92" s="28">
        <f t="shared" si="3"/>
        <v>0</v>
      </c>
      <c r="J92" s="31"/>
    </row>
    <row r="93" spans="1:10" x14ac:dyDescent="0.25">
      <c r="A93" s="32"/>
      <c r="B93" s="33"/>
      <c r="C93" s="33"/>
      <c r="D93" s="32"/>
      <c r="E93" s="32"/>
      <c r="F93" s="32"/>
      <c r="G93" s="32"/>
      <c r="H93" s="34" t="str">
        <f t="shared" si="2"/>
        <v/>
      </c>
      <c r="I93" s="35">
        <f t="shared" si="3"/>
        <v>0</v>
      </c>
      <c r="J93" s="33"/>
    </row>
    <row r="94" spans="1:10" x14ac:dyDescent="0.25">
      <c r="A94" s="30"/>
      <c r="B94" s="31"/>
      <c r="C94" s="31"/>
      <c r="D94" s="30"/>
      <c r="E94" s="30"/>
      <c r="F94" s="30"/>
      <c r="G94" s="30"/>
      <c r="H94" s="19" t="str">
        <f t="shared" si="2"/>
        <v/>
      </c>
      <c r="I94" s="28">
        <f t="shared" si="3"/>
        <v>0</v>
      </c>
      <c r="J94" s="31"/>
    </row>
    <row r="95" spans="1:10" x14ac:dyDescent="0.25">
      <c r="A95" s="32"/>
      <c r="B95" s="33"/>
      <c r="C95" s="33"/>
      <c r="D95" s="32"/>
      <c r="E95" s="32"/>
      <c r="F95" s="32"/>
      <c r="G95" s="32"/>
      <c r="H95" s="34" t="str">
        <f t="shared" si="2"/>
        <v/>
      </c>
      <c r="I95" s="35">
        <f t="shared" si="3"/>
        <v>0</v>
      </c>
      <c r="J95" s="33"/>
    </row>
    <row r="96" spans="1:10" x14ac:dyDescent="0.25">
      <c r="A96" s="30"/>
      <c r="B96" s="31"/>
      <c r="C96" s="31"/>
      <c r="D96" s="30"/>
      <c r="E96" s="30"/>
      <c r="F96" s="30"/>
      <c r="G96" s="30"/>
      <c r="H96" s="19" t="str">
        <f t="shared" si="2"/>
        <v/>
      </c>
      <c r="I96" s="28">
        <f t="shared" si="3"/>
        <v>0</v>
      </c>
      <c r="J96" s="31"/>
    </row>
    <row r="97" spans="1:10" x14ac:dyDescent="0.25">
      <c r="A97" s="32"/>
      <c r="B97" s="33"/>
      <c r="C97" s="33"/>
      <c r="D97" s="32"/>
      <c r="E97" s="32"/>
      <c r="F97" s="32"/>
      <c r="G97" s="32"/>
      <c r="H97" s="34" t="str">
        <f t="shared" si="2"/>
        <v/>
      </c>
      <c r="I97" s="35">
        <f t="shared" si="3"/>
        <v>0</v>
      </c>
      <c r="J97" s="33"/>
    </row>
    <row r="98" spans="1:10" x14ac:dyDescent="0.25">
      <c r="A98" s="30"/>
      <c r="B98" s="31"/>
      <c r="C98" s="31"/>
      <c r="D98" s="30"/>
      <c r="E98" s="30"/>
      <c r="F98" s="30"/>
      <c r="G98" s="30"/>
      <c r="H98" s="19" t="str">
        <f t="shared" si="2"/>
        <v/>
      </c>
      <c r="I98" s="28">
        <f t="shared" si="3"/>
        <v>0</v>
      </c>
      <c r="J98" s="31"/>
    </row>
    <row r="99" spans="1:10" x14ac:dyDescent="0.25">
      <c r="A99" s="32"/>
      <c r="B99" s="33"/>
      <c r="C99" s="33"/>
      <c r="D99" s="32"/>
      <c r="E99" s="32"/>
      <c r="F99" s="32"/>
      <c r="G99" s="32"/>
      <c r="H99" s="34" t="str">
        <f t="shared" si="2"/>
        <v/>
      </c>
      <c r="I99" s="35">
        <f t="shared" si="3"/>
        <v>0</v>
      </c>
      <c r="J99" s="33"/>
    </row>
    <row r="100" spans="1:10" x14ac:dyDescent="0.25">
      <c r="A100" s="30"/>
      <c r="B100" s="31"/>
      <c r="C100" s="31"/>
      <c r="D100" s="30"/>
      <c r="E100" s="30"/>
      <c r="F100" s="30"/>
      <c r="G100" s="30"/>
      <c r="H100" s="19" t="str">
        <f t="shared" si="2"/>
        <v/>
      </c>
      <c r="I100" s="28">
        <f t="shared" si="3"/>
        <v>0</v>
      </c>
      <c r="J100" s="31"/>
    </row>
    <row r="101" spans="1:10" x14ac:dyDescent="0.25">
      <c r="A101" s="32"/>
      <c r="B101" s="33"/>
      <c r="C101" s="33"/>
      <c r="D101" s="32"/>
      <c r="E101" s="32"/>
      <c r="F101" s="32"/>
      <c r="G101" s="32"/>
      <c r="H101" s="34" t="str">
        <f t="shared" si="2"/>
        <v/>
      </c>
      <c r="I101" s="35">
        <f t="shared" si="3"/>
        <v>0</v>
      </c>
      <c r="J101" s="33"/>
    </row>
    <row r="102" spans="1:10" x14ac:dyDescent="0.25">
      <c r="A102" s="30"/>
      <c r="B102" s="31"/>
      <c r="C102" s="31"/>
      <c r="D102" s="30"/>
      <c r="E102" s="30"/>
      <c r="F102" s="30"/>
      <c r="G102" s="30"/>
      <c r="H102" s="19" t="str">
        <f t="shared" si="2"/>
        <v/>
      </c>
      <c r="I102" s="28">
        <f t="shared" si="3"/>
        <v>0</v>
      </c>
      <c r="J102" s="31"/>
    </row>
    <row r="103" spans="1:10" x14ac:dyDescent="0.25">
      <c r="A103" s="32"/>
      <c r="B103" s="33"/>
      <c r="C103" s="33"/>
      <c r="D103" s="32"/>
      <c r="E103" s="32"/>
      <c r="F103" s="32"/>
      <c r="G103" s="32"/>
      <c r="H103" s="34" t="str">
        <f t="shared" si="2"/>
        <v/>
      </c>
      <c r="I103" s="35">
        <f t="shared" si="3"/>
        <v>0</v>
      </c>
      <c r="J103" s="33"/>
    </row>
    <row r="104" spans="1:10" x14ac:dyDescent="0.25">
      <c r="A104" s="30"/>
      <c r="B104" s="31"/>
      <c r="C104" s="31"/>
      <c r="D104" s="30"/>
      <c r="E104" s="30"/>
      <c r="F104" s="30"/>
      <c r="G104" s="30"/>
      <c r="H104" s="19" t="str">
        <f t="shared" si="2"/>
        <v/>
      </c>
      <c r="I104" s="28">
        <f t="shared" si="3"/>
        <v>0</v>
      </c>
      <c r="J104" s="31"/>
    </row>
    <row r="105" spans="1:10" x14ac:dyDescent="0.25">
      <c r="A105" s="32"/>
      <c r="B105" s="33"/>
      <c r="C105" s="33"/>
      <c r="D105" s="32"/>
      <c r="E105" s="32"/>
      <c r="F105" s="32"/>
      <c r="G105" s="32"/>
      <c r="H105" s="34" t="str">
        <f t="shared" si="2"/>
        <v/>
      </c>
      <c r="I105" s="35">
        <f t="shared" si="3"/>
        <v>0</v>
      </c>
      <c r="J105" s="33"/>
    </row>
    <row r="106" spans="1:10" x14ac:dyDescent="0.25">
      <c r="A106" s="30"/>
      <c r="B106" s="31"/>
      <c r="C106" s="31"/>
      <c r="D106" s="30"/>
      <c r="E106" s="30"/>
      <c r="F106" s="30"/>
      <c r="G106" s="30"/>
      <c r="H106" s="19" t="str">
        <f t="shared" si="2"/>
        <v/>
      </c>
      <c r="I106" s="28">
        <f t="shared" si="3"/>
        <v>0</v>
      </c>
      <c r="J106" s="31"/>
    </row>
    <row r="107" spans="1:10" x14ac:dyDescent="0.25">
      <c r="A107" s="32"/>
      <c r="B107" s="33"/>
      <c r="C107" s="33"/>
      <c r="D107" s="32"/>
      <c r="E107" s="32"/>
      <c r="F107" s="32"/>
      <c r="G107" s="32"/>
      <c r="H107" s="34" t="str">
        <f t="shared" si="2"/>
        <v/>
      </c>
      <c r="I107" s="35">
        <f t="shared" si="3"/>
        <v>0</v>
      </c>
      <c r="J107" s="33"/>
    </row>
    <row r="108" spans="1:10" x14ac:dyDescent="0.25">
      <c r="A108" s="30"/>
      <c r="B108" s="31"/>
      <c r="C108" s="31"/>
      <c r="D108" s="30"/>
      <c r="E108" s="30"/>
      <c r="F108" s="30"/>
      <c r="G108" s="30"/>
      <c r="H108" s="19" t="str">
        <f t="shared" si="2"/>
        <v/>
      </c>
      <c r="I108" s="28">
        <f t="shared" si="3"/>
        <v>0</v>
      </c>
      <c r="J108" s="31"/>
    </row>
    <row r="109" spans="1:10" x14ac:dyDescent="0.25">
      <c r="A109" s="32"/>
      <c r="B109" s="33"/>
      <c r="C109" s="33"/>
      <c r="D109" s="32"/>
      <c r="E109" s="32"/>
      <c r="F109" s="32"/>
      <c r="G109" s="32"/>
      <c r="H109" s="34" t="str">
        <f t="shared" si="2"/>
        <v/>
      </c>
      <c r="I109" s="35">
        <f t="shared" si="3"/>
        <v>0</v>
      </c>
      <c r="J109" s="33"/>
    </row>
    <row r="110" spans="1:10" x14ac:dyDescent="0.25">
      <c r="A110" s="30"/>
      <c r="B110" s="31"/>
      <c r="C110" s="31"/>
      <c r="D110" s="30"/>
      <c r="E110" s="30"/>
      <c r="F110" s="30"/>
      <c r="G110" s="30"/>
      <c r="H110" s="19" t="str">
        <f t="shared" si="2"/>
        <v/>
      </c>
      <c r="I110" s="28">
        <f t="shared" si="3"/>
        <v>0</v>
      </c>
      <c r="J110" s="31"/>
    </row>
    <row r="111" spans="1:10" x14ac:dyDescent="0.25">
      <c r="A111" s="32"/>
      <c r="B111" s="33"/>
      <c r="C111" s="33"/>
      <c r="D111" s="32"/>
      <c r="E111" s="32"/>
      <c r="F111" s="32"/>
      <c r="G111" s="32"/>
      <c r="H111" s="34" t="str">
        <f t="shared" si="2"/>
        <v/>
      </c>
      <c r="I111" s="35">
        <f t="shared" si="3"/>
        <v>0</v>
      </c>
      <c r="J111" s="33"/>
    </row>
    <row r="112" spans="1:10" x14ac:dyDescent="0.25">
      <c r="A112" s="30"/>
      <c r="B112" s="31"/>
      <c r="C112" s="31"/>
      <c r="D112" s="30"/>
      <c r="E112" s="30"/>
      <c r="F112" s="30"/>
      <c r="G112" s="30"/>
      <c r="H112" s="19" t="str">
        <f t="shared" si="2"/>
        <v/>
      </c>
      <c r="I112" s="28">
        <f t="shared" si="3"/>
        <v>0</v>
      </c>
      <c r="J112" s="31"/>
    </row>
    <row r="113" spans="1:10" x14ac:dyDescent="0.25">
      <c r="A113" s="32"/>
      <c r="B113" s="33"/>
      <c r="C113" s="33"/>
      <c r="D113" s="32"/>
      <c r="E113" s="32"/>
      <c r="F113" s="32"/>
      <c r="G113" s="32"/>
      <c r="H113" s="34" t="str">
        <f t="shared" si="2"/>
        <v/>
      </c>
      <c r="I113" s="35">
        <f t="shared" si="3"/>
        <v>0</v>
      </c>
      <c r="J113" s="33"/>
    </row>
    <row r="114" spans="1:10" x14ac:dyDescent="0.25">
      <c r="A114" s="30"/>
      <c r="B114" s="31"/>
      <c r="C114" s="31"/>
      <c r="D114" s="30"/>
      <c r="E114" s="30"/>
      <c r="F114" s="30"/>
      <c r="G114" s="30"/>
      <c r="H114" s="19" t="str">
        <f t="shared" si="2"/>
        <v/>
      </c>
      <c r="I114" s="28">
        <f t="shared" si="3"/>
        <v>0</v>
      </c>
      <c r="J114" s="31"/>
    </row>
    <row r="115" spans="1:10" x14ac:dyDescent="0.25">
      <c r="A115" s="32"/>
      <c r="B115" s="33"/>
      <c r="C115" s="33"/>
      <c r="D115" s="32"/>
      <c r="E115" s="32"/>
      <c r="F115" s="32"/>
      <c r="G115" s="32"/>
      <c r="H115" s="34" t="str">
        <f t="shared" si="2"/>
        <v/>
      </c>
      <c r="I115" s="35">
        <f t="shared" si="3"/>
        <v>0</v>
      </c>
      <c r="J115" s="33"/>
    </row>
    <row r="116" spans="1:10" x14ac:dyDescent="0.25">
      <c r="A116" s="30"/>
      <c r="B116" s="31"/>
      <c r="C116" s="31"/>
      <c r="D116" s="30"/>
      <c r="E116" s="30"/>
      <c r="F116" s="30"/>
      <c r="G116" s="30"/>
      <c r="H116" s="19" t="str">
        <f t="shared" si="2"/>
        <v/>
      </c>
      <c r="I116" s="28">
        <f t="shared" si="3"/>
        <v>0</v>
      </c>
      <c r="J116" s="31"/>
    </row>
    <row r="117" spans="1:10" x14ac:dyDescent="0.25">
      <c r="A117" s="32"/>
      <c r="B117" s="33"/>
      <c r="C117" s="33"/>
      <c r="D117" s="32"/>
      <c r="E117" s="32"/>
      <c r="F117" s="32"/>
      <c r="G117" s="32"/>
      <c r="H117" s="34" t="str">
        <f t="shared" si="2"/>
        <v/>
      </c>
      <c r="I117" s="35">
        <f t="shared" si="3"/>
        <v>0</v>
      </c>
      <c r="J117" s="33"/>
    </row>
    <row r="118" spans="1:10" x14ac:dyDescent="0.25">
      <c r="A118" s="30"/>
      <c r="B118" s="31"/>
      <c r="C118" s="31"/>
      <c r="D118" s="30"/>
      <c r="E118" s="30"/>
      <c r="F118" s="30"/>
      <c r="G118" s="30"/>
      <c r="H118" s="19" t="str">
        <f t="shared" si="2"/>
        <v/>
      </c>
      <c r="I118" s="28">
        <f t="shared" si="3"/>
        <v>0</v>
      </c>
      <c r="J118" s="31"/>
    </row>
    <row r="119" spans="1:10" x14ac:dyDescent="0.25">
      <c r="A119" s="32"/>
      <c r="B119" s="33"/>
      <c r="C119" s="33"/>
      <c r="D119" s="32"/>
      <c r="E119" s="32"/>
      <c r="F119" s="32"/>
      <c r="G119" s="32"/>
      <c r="H119" s="34" t="str">
        <f t="shared" si="2"/>
        <v/>
      </c>
      <c r="I119" s="35">
        <f t="shared" si="3"/>
        <v>0</v>
      </c>
      <c r="J119" s="33"/>
    </row>
    <row r="120" spans="1:10" x14ac:dyDescent="0.25">
      <c r="A120" s="30"/>
      <c r="B120" s="31"/>
      <c r="C120" s="31"/>
      <c r="D120" s="30"/>
      <c r="E120" s="30"/>
      <c r="F120" s="30"/>
      <c r="G120" s="30"/>
      <c r="H120" s="19" t="str">
        <f t="shared" si="2"/>
        <v/>
      </c>
      <c r="I120" s="28">
        <f t="shared" si="3"/>
        <v>0</v>
      </c>
      <c r="J120" s="31"/>
    </row>
    <row r="121" spans="1:10" x14ac:dyDescent="0.25">
      <c r="A121" s="32"/>
      <c r="B121" s="33"/>
      <c r="C121" s="33"/>
      <c r="D121" s="32"/>
      <c r="E121" s="32"/>
      <c r="F121" s="32"/>
      <c r="G121" s="32"/>
      <c r="H121" s="34" t="str">
        <f t="shared" si="2"/>
        <v/>
      </c>
      <c r="I121" s="35">
        <f t="shared" si="3"/>
        <v>0</v>
      </c>
      <c r="J121" s="33"/>
    </row>
    <row r="122" spans="1:10" x14ac:dyDescent="0.25">
      <c r="A122" s="30"/>
      <c r="B122" s="31"/>
      <c r="C122" s="31"/>
      <c r="D122" s="30"/>
      <c r="E122" s="30"/>
      <c r="F122" s="30"/>
      <c r="G122" s="30"/>
      <c r="H122" s="19" t="str">
        <f t="shared" si="2"/>
        <v/>
      </c>
      <c r="I122" s="28">
        <f t="shared" si="3"/>
        <v>0</v>
      </c>
      <c r="J122" s="31"/>
    </row>
    <row r="123" spans="1:10" x14ac:dyDescent="0.25">
      <c r="A123" s="32"/>
      <c r="B123" s="33"/>
      <c r="C123" s="33"/>
      <c r="D123" s="32"/>
      <c r="E123" s="32"/>
      <c r="F123" s="32"/>
      <c r="G123" s="32"/>
      <c r="H123" s="34" t="str">
        <f t="shared" si="2"/>
        <v/>
      </c>
      <c r="I123" s="35">
        <f t="shared" si="3"/>
        <v>0</v>
      </c>
      <c r="J123" s="33"/>
    </row>
    <row r="124" spans="1:10" x14ac:dyDescent="0.25">
      <c r="A124" s="30"/>
      <c r="B124" s="31"/>
      <c r="C124" s="31"/>
      <c r="D124" s="30"/>
      <c r="E124" s="30"/>
      <c r="F124" s="30"/>
      <c r="G124" s="30"/>
      <c r="H124" s="19" t="str">
        <f t="shared" si="2"/>
        <v/>
      </c>
      <c r="I124" s="28">
        <f t="shared" si="3"/>
        <v>0</v>
      </c>
      <c r="J124" s="31"/>
    </row>
    <row r="125" spans="1:10" x14ac:dyDescent="0.25">
      <c r="A125" s="32"/>
      <c r="B125" s="33"/>
      <c r="C125" s="33"/>
      <c r="D125" s="32"/>
      <c r="E125" s="32"/>
      <c r="F125" s="32"/>
      <c r="G125" s="32"/>
      <c r="H125" s="34" t="str">
        <f t="shared" si="2"/>
        <v/>
      </c>
      <c r="I125" s="35">
        <f t="shared" si="3"/>
        <v>0</v>
      </c>
      <c r="J125" s="33"/>
    </row>
    <row r="126" spans="1:10" x14ac:dyDescent="0.25">
      <c r="A126" s="30"/>
      <c r="B126" s="31"/>
      <c r="C126" s="31"/>
      <c r="D126" s="30"/>
      <c r="E126" s="30"/>
      <c r="F126" s="30"/>
      <c r="G126" s="30"/>
      <c r="H126" s="19" t="str">
        <f t="shared" si="2"/>
        <v/>
      </c>
      <c r="I126" s="28">
        <f t="shared" si="3"/>
        <v>0</v>
      </c>
      <c r="J126" s="31"/>
    </row>
    <row r="127" spans="1:10" x14ac:dyDescent="0.25">
      <c r="A127" s="32"/>
      <c r="B127" s="33"/>
      <c r="C127" s="33"/>
      <c r="D127" s="32"/>
      <c r="E127" s="32"/>
      <c r="F127" s="32"/>
      <c r="G127" s="32"/>
      <c r="H127" s="34" t="str">
        <f t="shared" si="2"/>
        <v/>
      </c>
      <c r="I127" s="35">
        <f t="shared" si="3"/>
        <v>0</v>
      </c>
      <c r="J127" s="33"/>
    </row>
    <row r="128" spans="1:10" x14ac:dyDescent="0.25">
      <c r="A128" s="30"/>
      <c r="B128" s="31"/>
      <c r="C128" s="31"/>
      <c r="D128" s="30"/>
      <c r="E128" s="30"/>
      <c r="F128" s="30"/>
      <c r="G128" s="30"/>
      <c r="H128" s="19" t="str">
        <f t="shared" si="2"/>
        <v/>
      </c>
      <c r="I128" s="28">
        <f t="shared" si="3"/>
        <v>0</v>
      </c>
      <c r="J128" s="31"/>
    </row>
    <row r="129" spans="1:10" x14ac:dyDescent="0.25">
      <c r="A129" s="32"/>
      <c r="B129" s="33"/>
      <c r="C129" s="33"/>
      <c r="D129" s="32"/>
      <c r="E129" s="32"/>
      <c r="F129" s="32"/>
      <c r="G129" s="32"/>
      <c r="H129" s="34" t="str">
        <f t="shared" si="2"/>
        <v/>
      </c>
      <c r="I129" s="35">
        <f t="shared" si="3"/>
        <v>0</v>
      </c>
      <c r="J129" s="33"/>
    </row>
    <row r="130" spans="1:10" x14ac:dyDescent="0.25">
      <c r="A130" s="30"/>
      <c r="B130" s="31"/>
      <c r="C130" s="31"/>
      <c r="D130" s="30"/>
      <c r="E130" s="30"/>
      <c r="F130" s="30"/>
      <c r="G130" s="30"/>
      <c r="H130" s="19" t="str">
        <f t="shared" ref="H130:H193" si="4">IF(F130&gt;0, F130-G130, "")</f>
        <v/>
      </c>
      <c r="I130" s="28">
        <f t="shared" ref="I130:I193" si="5">IF(F130&gt;0, G130/F130, 0)</f>
        <v>0</v>
      </c>
      <c r="J130" s="31"/>
    </row>
    <row r="131" spans="1:10" x14ac:dyDescent="0.25">
      <c r="A131" s="32"/>
      <c r="B131" s="33"/>
      <c r="C131" s="33"/>
      <c r="D131" s="32"/>
      <c r="E131" s="32"/>
      <c r="F131" s="32"/>
      <c r="G131" s="32"/>
      <c r="H131" s="34" t="str">
        <f t="shared" si="4"/>
        <v/>
      </c>
      <c r="I131" s="35">
        <f t="shared" si="5"/>
        <v>0</v>
      </c>
      <c r="J131" s="33"/>
    </row>
    <row r="132" spans="1:10" x14ac:dyDescent="0.25">
      <c r="A132" s="30"/>
      <c r="B132" s="31"/>
      <c r="C132" s="31"/>
      <c r="D132" s="30"/>
      <c r="E132" s="30"/>
      <c r="F132" s="30"/>
      <c r="G132" s="30"/>
      <c r="H132" s="19" t="str">
        <f t="shared" si="4"/>
        <v/>
      </c>
      <c r="I132" s="28">
        <f t="shared" si="5"/>
        <v>0</v>
      </c>
      <c r="J132" s="31"/>
    </row>
    <row r="133" spans="1:10" x14ac:dyDescent="0.25">
      <c r="A133" s="32"/>
      <c r="B133" s="33"/>
      <c r="C133" s="33"/>
      <c r="D133" s="32"/>
      <c r="E133" s="32"/>
      <c r="F133" s="32"/>
      <c r="G133" s="32"/>
      <c r="H133" s="34" t="str">
        <f t="shared" si="4"/>
        <v/>
      </c>
      <c r="I133" s="35">
        <f t="shared" si="5"/>
        <v>0</v>
      </c>
      <c r="J133" s="33"/>
    </row>
    <row r="134" spans="1:10" x14ac:dyDescent="0.25">
      <c r="A134" s="30"/>
      <c r="B134" s="31"/>
      <c r="C134" s="31"/>
      <c r="D134" s="30"/>
      <c r="E134" s="30"/>
      <c r="F134" s="30"/>
      <c r="G134" s="30"/>
      <c r="H134" s="19" t="str">
        <f t="shared" si="4"/>
        <v/>
      </c>
      <c r="I134" s="28">
        <f t="shared" si="5"/>
        <v>0</v>
      </c>
      <c r="J134" s="31"/>
    </row>
    <row r="135" spans="1:10" x14ac:dyDescent="0.25">
      <c r="A135" s="32"/>
      <c r="B135" s="33"/>
      <c r="C135" s="33"/>
      <c r="D135" s="32"/>
      <c r="E135" s="32"/>
      <c r="F135" s="32"/>
      <c r="G135" s="32"/>
      <c r="H135" s="34" t="str">
        <f t="shared" si="4"/>
        <v/>
      </c>
      <c r="I135" s="35">
        <f t="shared" si="5"/>
        <v>0</v>
      </c>
      <c r="J135" s="33"/>
    </row>
    <row r="136" spans="1:10" x14ac:dyDescent="0.25">
      <c r="A136" s="30"/>
      <c r="B136" s="31"/>
      <c r="C136" s="31"/>
      <c r="D136" s="30"/>
      <c r="E136" s="30"/>
      <c r="F136" s="30"/>
      <c r="G136" s="30"/>
      <c r="H136" s="19" t="str">
        <f t="shared" si="4"/>
        <v/>
      </c>
      <c r="I136" s="28">
        <f t="shared" si="5"/>
        <v>0</v>
      </c>
      <c r="J136" s="31"/>
    </row>
    <row r="137" spans="1:10" x14ac:dyDescent="0.25">
      <c r="A137" s="32"/>
      <c r="B137" s="33"/>
      <c r="C137" s="33"/>
      <c r="D137" s="32"/>
      <c r="E137" s="32"/>
      <c r="F137" s="32"/>
      <c r="G137" s="32"/>
      <c r="H137" s="34" t="str">
        <f t="shared" si="4"/>
        <v/>
      </c>
      <c r="I137" s="35">
        <f t="shared" si="5"/>
        <v>0</v>
      </c>
      <c r="J137" s="33"/>
    </row>
    <row r="138" spans="1:10" x14ac:dyDescent="0.25">
      <c r="A138" s="30"/>
      <c r="B138" s="31"/>
      <c r="C138" s="31"/>
      <c r="D138" s="30"/>
      <c r="E138" s="30"/>
      <c r="F138" s="30"/>
      <c r="G138" s="30"/>
      <c r="H138" s="19" t="str">
        <f t="shared" si="4"/>
        <v/>
      </c>
      <c r="I138" s="28">
        <f t="shared" si="5"/>
        <v>0</v>
      </c>
      <c r="J138" s="31"/>
    </row>
    <row r="139" spans="1:10" x14ac:dyDescent="0.25">
      <c r="A139" s="32"/>
      <c r="B139" s="33"/>
      <c r="C139" s="33"/>
      <c r="D139" s="32"/>
      <c r="E139" s="32"/>
      <c r="F139" s="32"/>
      <c r="G139" s="32"/>
      <c r="H139" s="34" t="str">
        <f t="shared" si="4"/>
        <v/>
      </c>
      <c r="I139" s="35">
        <f t="shared" si="5"/>
        <v>0</v>
      </c>
      <c r="J139" s="33"/>
    </row>
    <row r="140" spans="1:10" x14ac:dyDescent="0.25">
      <c r="A140" s="30"/>
      <c r="B140" s="31"/>
      <c r="C140" s="31"/>
      <c r="D140" s="30"/>
      <c r="E140" s="30"/>
      <c r="F140" s="30"/>
      <c r="G140" s="30"/>
      <c r="H140" s="19" t="str">
        <f t="shared" si="4"/>
        <v/>
      </c>
      <c r="I140" s="28">
        <f t="shared" si="5"/>
        <v>0</v>
      </c>
      <c r="J140" s="31"/>
    </row>
    <row r="141" spans="1:10" x14ac:dyDescent="0.25">
      <c r="A141" s="32"/>
      <c r="B141" s="33"/>
      <c r="C141" s="33"/>
      <c r="D141" s="32"/>
      <c r="E141" s="32"/>
      <c r="F141" s="32"/>
      <c r="G141" s="32"/>
      <c r="H141" s="34" t="str">
        <f t="shared" si="4"/>
        <v/>
      </c>
      <c r="I141" s="35">
        <f t="shared" si="5"/>
        <v>0</v>
      </c>
      <c r="J141" s="33"/>
    </row>
    <row r="142" spans="1:10" x14ac:dyDescent="0.25">
      <c r="A142" s="30"/>
      <c r="B142" s="31"/>
      <c r="C142" s="31"/>
      <c r="D142" s="30"/>
      <c r="E142" s="30"/>
      <c r="F142" s="30"/>
      <c r="G142" s="30"/>
      <c r="H142" s="19" t="str">
        <f t="shared" si="4"/>
        <v/>
      </c>
      <c r="I142" s="28">
        <f t="shared" si="5"/>
        <v>0</v>
      </c>
      <c r="J142" s="31"/>
    </row>
    <row r="143" spans="1:10" x14ac:dyDescent="0.25">
      <c r="A143" s="32"/>
      <c r="B143" s="33"/>
      <c r="C143" s="33"/>
      <c r="D143" s="32"/>
      <c r="E143" s="32"/>
      <c r="F143" s="32"/>
      <c r="G143" s="32"/>
      <c r="H143" s="34" t="str">
        <f t="shared" si="4"/>
        <v/>
      </c>
      <c r="I143" s="35">
        <f t="shared" si="5"/>
        <v>0</v>
      </c>
      <c r="J143" s="33"/>
    </row>
    <row r="144" spans="1:10" x14ac:dyDescent="0.25">
      <c r="A144" s="30"/>
      <c r="B144" s="31"/>
      <c r="C144" s="31"/>
      <c r="D144" s="30"/>
      <c r="E144" s="30"/>
      <c r="F144" s="30"/>
      <c r="G144" s="30"/>
      <c r="H144" s="19" t="str">
        <f t="shared" si="4"/>
        <v/>
      </c>
      <c r="I144" s="28">
        <f t="shared" si="5"/>
        <v>0</v>
      </c>
      <c r="J144" s="31"/>
    </row>
    <row r="145" spans="1:10" x14ac:dyDescent="0.25">
      <c r="A145" s="32"/>
      <c r="B145" s="33"/>
      <c r="C145" s="33"/>
      <c r="D145" s="32"/>
      <c r="E145" s="32"/>
      <c r="F145" s="32"/>
      <c r="G145" s="32"/>
      <c r="H145" s="34" t="str">
        <f t="shared" si="4"/>
        <v/>
      </c>
      <c r="I145" s="35">
        <f t="shared" si="5"/>
        <v>0</v>
      </c>
      <c r="J145" s="33"/>
    </row>
    <row r="146" spans="1:10" x14ac:dyDescent="0.25">
      <c r="A146" s="30"/>
      <c r="B146" s="31"/>
      <c r="C146" s="31"/>
      <c r="D146" s="30"/>
      <c r="E146" s="30"/>
      <c r="F146" s="30"/>
      <c r="G146" s="30"/>
      <c r="H146" s="19" t="str">
        <f t="shared" si="4"/>
        <v/>
      </c>
      <c r="I146" s="28">
        <f t="shared" si="5"/>
        <v>0</v>
      </c>
      <c r="J146" s="31"/>
    </row>
    <row r="147" spans="1:10" x14ac:dyDescent="0.25">
      <c r="A147" s="32"/>
      <c r="B147" s="33"/>
      <c r="C147" s="33"/>
      <c r="D147" s="32"/>
      <c r="E147" s="32"/>
      <c r="F147" s="32"/>
      <c r="G147" s="32"/>
      <c r="H147" s="34" t="str">
        <f t="shared" si="4"/>
        <v/>
      </c>
      <c r="I147" s="35">
        <f t="shared" si="5"/>
        <v>0</v>
      </c>
      <c r="J147" s="33"/>
    </row>
    <row r="148" spans="1:10" x14ac:dyDescent="0.25">
      <c r="A148" s="30"/>
      <c r="B148" s="31"/>
      <c r="C148" s="31"/>
      <c r="D148" s="30"/>
      <c r="E148" s="30"/>
      <c r="F148" s="30"/>
      <c r="G148" s="30"/>
      <c r="H148" s="19" t="str">
        <f t="shared" si="4"/>
        <v/>
      </c>
      <c r="I148" s="28">
        <f t="shared" si="5"/>
        <v>0</v>
      </c>
      <c r="J148" s="31"/>
    </row>
    <row r="149" spans="1:10" x14ac:dyDescent="0.25">
      <c r="A149" s="32"/>
      <c r="B149" s="33"/>
      <c r="C149" s="33"/>
      <c r="D149" s="32"/>
      <c r="E149" s="32"/>
      <c r="F149" s="32"/>
      <c r="G149" s="32"/>
      <c r="H149" s="34" t="str">
        <f t="shared" si="4"/>
        <v/>
      </c>
      <c r="I149" s="35">
        <f t="shared" si="5"/>
        <v>0</v>
      </c>
      <c r="J149" s="33"/>
    </row>
    <row r="150" spans="1:10" x14ac:dyDescent="0.25">
      <c r="A150" s="30"/>
      <c r="B150" s="31"/>
      <c r="C150" s="31"/>
      <c r="D150" s="30"/>
      <c r="E150" s="30"/>
      <c r="F150" s="30"/>
      <c r="G150" s="30"/>
      <c r="H150" s="19" t="str">
        <f t="shared" si="4"/>
        <v/>
      </c>
      <c r="I150" s="28">
        <f t="shared" si="5"/>
        <v>0</v>
      </c>
      <c r="J150" s="31"/>
    </row>
    <row r="151" spans="1:10" x14ac:dyDescent="0.25">
      <c r="A151" s="32"/>
      <c r="B151" s="33"/>
      <c r="C151" s="33"/>
      <c r="D151" s="32"/>
      <c r="E151" s="32"/>
      <c r="F151" s="32"/>
      <c r="G151" s="32"/>
      <c r="H151" s="34" t="str">
        <f t="shared" si="4"/>
        <v/>
      </c>
      <c r="I151" s="35">
        <f t="shared" si="5"/>
        <v>0</v>
      </c>
      <c r="J151" s="33"/>
    </row>
    <row r="152" spans="1:10" x14ac:dyDescent="0.25">
      <c r="A152" s="30"/>
      <c r="B152" s="31"/>
      <c r="C152" s="31"/>
      <c r="D152" s="30"/>
      <c r="E152" s="30"/>
      <c r="F152" s="30"/>
      <c r="G152" s="30"/>
      <c r="H152" s="19" t="str">
        <f t="shared" si="4"/>
        <v/>
      </c>
      <c r="I152" s="28">
        <f t="shared" si="5"/>
        <v>0</v>
      </c>
      <c r="J152" s="31"/>
    </row>
    <row r="153" spans="1:10" x14ac:dyDescent="0.25">
      <c r="A153" s="32"/>
      <c r="B153" s="33"/>
      <c r="C153" s="33"/>
      <c r="D153" s="32"/>
      <c r="E153" s="32"/>
      <c r="F153" s="32"/>
      <c r="G153" s="32"/>
      <c r="H153" s="34" t="str">
        <f t="shared" si="4"/>
        <v/>
      </c>
      <c r="I153" s="35">
        <f t="shared" si="5"/>
        <v>0</v>
      </c>
      <c r="J153" s="33"/>
    </row>
    <row r="154" spans="1:10" x14ac:dyDescent="0.25">
      <c r="A154" s="30"/>
      <c r="B154" s="31"/>
      <c r="C154" s="31"/>
      <c r="D154" s="30"/>
      <c r="E154" s="30"/>
      <c r="F154" s="30"/>
      <c r="G154" s="30"/>
      <c r="H154" s="19" t="str">
        <f t="shared" si="4"/>
        <v/>
      </c>
      <c r="I154" s="28">
        <f t="shared" si="5"/>
        <v>0</v>
      </c>
      <c r="J154" s="31"/>
    </row>
    <row r="155" spans="1:10" x14ac:dyDescent="0.25">
      <c r="A155" s="32"/>
      <c r="B155" s="33"/>
      <c r="C155" s="33"/>
      <c r="D155" s="32"/>
      <c r="E155" s="32"/>
      <c r="F155" s="32"/>
      <c r="G155" s="32"/>
      <c r="H155" s="34" t="str">
        <f t="shared" si="4"/>
        <v/>
      </c>
      <c r="I155" s="35">
        <f t="shared" si="5"/>
        <v>0</v>
      </c>
      <c r="J155" s="33"/>
    </row>
    <row r="156" spans="1:10" x14ac:dyDescent="0.25">
      <c r="A156" s="30"/>
      <c r="B156" s="31"/>
      <c r="C156" s="31"/>
      <c r="D156" s="30"/>
      <c r="E156" s="30"/>
      <c r="F156" s="30"/>
      <c r="G156" s="30"/>
      <c r="H156" s="19" t="str">
        <f t="shared" si="4"/>
        <v/>
      </c>
      <c r="I156" s="28">
        <f t="shared" si="5"/>
        <v>0</v>
      </c>
      <c r="J156" s="31"/>
    </row>
    <row r="157" spans="1:10" x14ac:dyDescent="0.25">
      <c r="A157" s="32"/>
      <c r="B157" s="33"/>
      <c r="C157" s="33"/>
      <c r="D157" s="32"/>
      <c r="E157" s="32"/>
      <c r="F157" s="32"/>
      <c r="G157" s="32"/>
      <c r="H157" s="34" t="str">
        <f t="shared" si="4"/>
        <v/>
      </c>
      <c r="I157" s="35">
        <f t="shared" si="5"/>
        <v>0</v>
      </c>
      <c r="J157" s="33"/>
    </row>
    <row r="158" spans="1:10" x14ac:dyDescent="0.25">
      <c r="A158" s="30"/>
      <c r="B158" s="31"/>
      <c r="C158" s="31"/>
      <c r="D158" s="30"/>
      <c r="E158" s="30"/>
      <c r="F158" s="30"/>
      <c r="G158" s="30"/>
      <c r="H158" s="19" t="str">
        <f t="shared" si="4"/>
        <v/>
      </c>
      <c r="I158" s="28">
        <f t="shared" si="5"/>
        <v>0</v>
      </c>
      <c r="J158" s="31"/>
    </row>
    <row r="159" spans="1:10" x14ac:dyDescent="0.25">
      <c r="A159" s="32"/>
      <c r="B159" s="33"/>
      <c r="C159" s="33"/>
      <c r="D159" s="32"/>
      <c r="E159" s="32"/>
      <c r="F159" s="32"/>
      <c r="G159" s="32"/>
      <c r="H159" s="34" t="str">
        <f t="shared" si="4"/>
        <v/>
      </c>
      <c r="I159" s="35">
        <f t="shared" si="5"/>
        <v>0</v>
      </c>
      <c r="J159" s="33"/>
    </row>
    <row r="160" spans="1:10" x14ac:dyDescent="0.25">
      <c r="A160" s="30"/>
      <c r="B160" s="31"/>
      <c r="C160" s="31"/>
      <c r="D160" s="30"/>
      <c r="E160" s="30"/>
      <c r="F160" s="30"/>
      <c r="G160" s="30"/>
      <c r="H160" s="19" t="str">
        <f t="shared" si="4"/>
        <v/>
      </c>
      <c r="I160" s="28">
        <f t="shared" si="5"/>
        <v>0</v>
      </c>
      <c r="J160" s="31"/>
    </row>
    <row r="161" spans="1:10" x14ac:dyDescent="0.25">
      <c r="A161" s="32"/>
      <c r="B161" s="33"/>
      <c r="C161" s="33"/>
      <c r="D161" s="32"/>
      <c r="E161" s="32"/>
      <c r="F161" s="32"/>
      <c r="G161" s="32"/>
      <c r="H161" s="34" t="str">
        <f t="shared" si="4"/>
        <v/>
      </c>
      <c r="I161" s="35">
        <f t="shared" si="5"/>
        <v>0</v>
      </c>
      <c r="J161" s="33"/>
    </row>
    <row r="162" spans="1:10" x14ac:dyDescent="0.25">
      <c r="A162" s="30"/>
      <c r="B162" s="31"/>
      <c r="C162" s="31"/>
      <c r="D162" s="30"/>
      <c r="E162" s="30"/>
      <c r="F162" s="30"/>
      <c r="G162" s="30"/>
      <c r="H162" s="19" t="str">
        <f t="shared" si="4"/>
        <v/>
      </c>
      <c r="I162" s="28">
        <f t="shared" si="5"/>
        <v>0</v>
      </c>
      <c r="J162" s="31"/>
    </row>
    <row r="163" spans="1:10" x14ac:dyDescent="0.25">
      <c r="A163" s="32"/>
      <c r="B163" s="33"/>
      <c r="C163" s="33"/>
      <c r="D163" s="32"/>
      <c r="E163" s="32"/>
      <c r="F163" s="32"/>
      <c r="G163" s="32"/>
      <c r="H163" s="34" t="str">
        <f t="shared" si="4"/>
        <v/>
      </c>
      <c r="I163" s="35">
        <f t="shared" si="5"/>
        <v>0</v>
      </c>
      <c r="J163" s="33"/>
    </row>
    <row r="164" spans="1:10" x14ac:dyDescent="0.25">
      <c r="A164" s="30"/>
      <c r="B164" s="31"/>
      <c r="C164" s="31"/>
      <c r="D164" s="30"/>
      <c r="E164" s="30"/>
      <c r="F164" s="30"/>
      <c r="G164" s="30"/>
      <c r="H164" s="19" t="str">
        <f t="shared" si="4"/>
        <v/>
      </c>
      <c r="I164" s="28">
        <f t="shared" si="5"/>
        <v>0</v>
      </c>
      <c r="J164" s="31"/>
    </row>
    <row r="165" spans="1:10" x14ac:dyDescent="0.25">
      <c r="A165" s="32"/>
      <c r="B165" s="33"/>
      <c r="C165" s="33"/>
      <c r="D165" s="32"/>
      <c r="E165" s="32"/>
      <c r="F165" s="32"/>
      <c r="G165" s="32"/>
      <c r="H165" s="34" t="str">
        <f t="shared" si="4"/>
        <v/>
      </c>
      <c r="I165" s="35">
        <f t="shared" si="5"/>
        <v>0</v>
      </c>
      <c r="J165" s="33"/>
    </row>
    <row r="166" spans="1:10" x14ac:dyDescent="0.25">
      <c r="A166" s="30"/>
      <c r="B166" s="31"/>
      <c r="C166" s="31"/>
      <c r="D166" s="30"/>
      <c r="E166" s="30"/>
      <c r="F166" s="30"/>
      <c r="G166" s="30"/>
      <c r="H166" s="19" t="str">
        <f t="shared" si="4"/>
        <v/>
      </c>
      <c r="I166" s="28">
        <f t="shared" si="5"/>
        <v>0</v>
      </c>
      <c r="J166" s="31"/>
    </row>
    <row r="167" spans="1:10" x14ac:dyDescent="0.25">
      <c r="A167" s="32"/>
      <c r="B167" s="33"/>
      <c r="C167" s="33"/>
      <c r="D167" s="32"/>
      <c r="E167" s="32"/>
      <c r="F167" s="32"/>
      <c r="G167" s="32"/>
      <c r="H167" s="34" t="str">
        <f t="shared" si="4"/>
        <v/>
      </c>
      <c r="I167" s="35">
        <f t="shared" si="5"/>
        <v>0</v>
      </c>
      <c r="J167" s="33"/>
    </row>
    <row r="168" spans="1:10" x14ac:dyDescent="0.25">
      <c r="A168" s="30"/>
      <c r="B168" s="31"/>
      <c r="C168" s="31"/>
      <c r="D168" s="30"/>
      <c r="E168" s="30"/>
      <c r="F168" s="30"/>
      <c r="G168" s="30"/>
      <c r="H168" s="19" t="str">
        <f t="shared" si="4"/>
        <v/>
      </c>
      <c r="I168" s="28">
        <f t="shared" si="5"/>
        <v>0</v>
      </c>
      <c r="J168" s="31"/>
    </row>
    <row r="169" spans="1:10" x14ac:dyDescent="0.25">
      <c r="A169" s="32"/>
      <c r="B169" s="33"/>
      <c r="C169" s="33"/>
      <c r="D169" s="32"/>
      <c r="E169" s="32"/>
      <c r="F169" s="32"/>
      <c r="G169" s="32"/>
      <c r="H169" s="34" t="str">
        <f t="shared" si="4"/>
        <v/>
      </c>
      <c r="I169" s="35">
        <f t="shared" si="5"/>
        <v>0</v>
      </c>
      <c r="J169" s="33"/>
    </row>
    <row r="170" spans="1:10" x14ac:dyDescent="0.25">
      <c r="A170" s="30"/>
      <c r="B170" s="31"/>
      <c r="C170" s="31"/>
      <c r="D170" s="30"/>
      <c r="E170" s="30"/>
      <c r="F170" s="30"/>
      <c r="G170" s="30"/>
      <c r="H170" s="19" t="str">
        <f t="shared" si="4"/>
        <v/>
      </c>
      <c r="I170" s="28">
        <f t="shared" si="5"/>
        <v>0</v>
      </c>
      <c r="J170" s="31"/>
    </row>
    <row r="171" spans="1:10" x14ac:dyDescent="0.25">
      <c r="A171" s="32"/>
      <c r="B171" s="33"/>
      <c r="C171" s="33"/>
      <c r="D171" s="32"/>
      <c r="E171" s="32"/>
      <c r="F171" s="32"/>
      <c r="G171" s="32"/>
      <c r="H171" s="34" t="str">
        <f t="shared" si="4"/>
        <v/>
      </c>
      <c r="I171" s="35">
        <f t="shared" si="5"/>
        <v>0</v>
      </c>
      <c r="J171" s="33"/>
    </row>
    <row r="172" spans="1:10" x14ac:dyDescent="0.25">
      <c r="A172" s="30"/>
      <c r="B172" s="31"/>
      <c r="C172" s="31"/>
      <c r="D172" s="30"/>
      <c r="E172" s="30"/>
      <c r="F172" s="30"/>
      <c r="G172" s="30"/>
      <c r="H172" s="19" t="str">
        <f t="shared" si="4"/>
        <v/>
      </c>
      <c r="I172" s="28">
        <f t="shared" si="5"/>
        <v>0</v>
      </c>
      <c r="J172" s="31"/>
    </row>
    <row r="173" spans="1:10" x14ac:dyDescent="0.25">
      <c r="A173" s="32"/>
      <c r="B173" s="33"/>
      <c r="C173" s="33"/>
      <c r="D173" s="32"/>
      <c r="E173" s="32"/>
      <c r="F173" s="32"/>
      <c r="G173" s="32"/>
      <c r="H173" s="34" t="str">
        <f t="shared" si="4"/>
        <v/>
      </c>
      <c r="I173" s="35">
        <f t="shared" si="5"/>
        <v>0</v>
      </c>
      <c r="J173" s="33"/>
    </row>
    <row r="174" spans="1:10" x14ac:dyDescent="0.25">
      <c r="A174" s="30"/>
      <c r="B174" s="31"/>
      <c r="C174" s="31"/>
      <c r="D174" s="30"/>
      <c r="E174" s="30"/>
      <c r="F174" s="30"/>
      <c r="G174" s="30"/>
      <c r="H174" s="19" t="str">
        <f t="shared" si="4"/>
        <v/>
      </c>
      <c r="I174" s="28">
        <f t="shared" si="5"/>
        <v>0</v>
      </c>
      <c r="J174" s="31"/>
    </row>
    <row r="175" spans="1:10" x14ac:dyDescent="0.25">
      <c r="A175" s="32"/>
      <c r="B175" s="33"/>
      <c r="C175" s="33"/>
      <c r="D175" s="32"/>
      <c r="E175" s="32"/>
      <c r="F175" s="32"/>
      <c r="G175" s="32"/>
      <c r="H175" s="34" t="str">
        <f t="shared" si="4"/>
        <v/>
      </c>
      <c r="I175" s="35">
        <f t="shared" si="5"/>
        <v>0</v>
      </c>
      <c r="J175" s="33"/>
    </row>
    <row r="176" spans="1:10" x14ac:dyDescent="0.25">
      <c r="A176" s="30"/>
      <c r="B176" s="31"/>
      <c r="C176" s="31"/>
      <c r="D176" s="30"/>
      <c r="E176" s="30"/>
      <c r="F176" s="30"/>
      <c r="G176" s="30"/>
      <c r="H176" s="19" t="str">
        <f t="shared" si="4"/>
        <v/>
      </c>
      <c r="I176" s="28">
        <f t="shared" si="5"/>
        <v>0</v>
      </c>
      <c r="J176" s="31"/>
    </row>
    <row r="177" spans="1:10" x14ac:dyDescent="0.25">
      <c r="A177" s="32"/>
      <c r="B177" s="33"/>
      <c r="C177" s="33"/>
      <c r="D177" s="32"/>
      <c r="E177" s="32"/>
      <c r="F177" s="32"/>
      <c r="G177" s="32"/>
      <c r="H177" s="34" t="str">
        <f t="shared" si="4"/>
        <v/>
      </c>
      <c r="I177" s="35">
        <f t="shared" si="5"/>
        <v>0</v>
      </c>
      <c r="J177" s="33"/>
    </row>
    <row r="178" spans="1:10" x14ac:dyDescent="0.25">
      <c r="A178" s="30"/>
      <c r="B178" s="31"/>
      <c r="C178" s="31"/>
      <c r="D178" s="30"/>
      <c r="E178" s="30"/>
      <c r="F178" s="30"/>
      <c r="G178" s="30"/>
      <c r="H178" s="19" t="str">
        <f t="shared" si="4"/>
        <v/>
      </c>
      <c r="I178" s="28">
        <f t="shared" si="5"/>
        <v>0</v>
      </c>
      <c r="J178" s="31"/>
    </row>
    <row r="179" spans="1:10" x14ac:dyDescent="0.25">
      <c r="A179" s="32"/>
      <c r="B179" s="33"/>
      <c r="C179" s="33"/>
      <c r="D179" s="32"/>
      <c r="E179" s="32"/>
      <c r="F179" s="32"/>
      <c r="G179" s="32"/>
      <c r="H179" s="34" t="str">
        <f t="shared" si="4"/>
        <v/>
      </c>
      <c r="I179" s="35">
        <f t="shared" si="5"/>
        <v>0</v>
      </c>
      <c r="J179" s="33"/>
    </row>
    <row r="180" spans="1:10" x14ac:dyDescent="0.25">
      <c r="A180" s="30"/>
      <c r="B180" s="31"/>
      <c r="C180" s="31"/>
      <c r="D180" s="30"/>
      <c r="E180" s="30"/>
      <c r="F180" s="30"/>
      <c r="G180" s="30"/>
      <c r="H180" s="19" t="str">
        <f t="shared" si="4"/>
        <v/>
      </c>
      <c r="I180" s="28">
        <f t="shared" si="5"/>
        <v>0</v>
      </c>
      <c r="J180" s="31"/>
    </row>
    <row r="181" spans="1:10" x14ac:dyDescent="0.25">
      <c r="A181" s="32"/>
      <c r="B181" s="33"/>
      <c r="C181" s="33"/>
      <c r="D181" s="32"/>
      <c r="E181" s="32"/>
      <c r="F181" s="32"/>
      <c r="G181" s="32"/>
      <c r="H181" s="34" t="str">
        <f t="shared" si="4"/>
        <v/>
      </c>
      <c r="I181" s="35">
        <f t="shared" si="5"/>
        <v>0</v>
      </c>
      <c r="J181" s="33"/>
    </row>
    <row r="182" spans="1:10" x14ac:dyDescent="0.25">
      <c r="A182" s="30"/>
      <c r="B182" s="31"/>
      <c r="C182" s="31"/>
      <c r="D182" s="30"/>
      <c r="E182" s="30"/>
      <c r="F182" s="30"/>
      <c r="G182" s="30"/>
      <c r="H182" s="19" t="str">
        <f t="shared" si="4"/>
        <v/>
      </c>
      <c r="I182" s="28">
        <f t="shared" si="5"/>
        <v>0</v>
      </c>
      <c r="J182" s="31"/>
    </row>
    <row r="183" spans="1:10" x14ac:dyDescent="0.25">
      <c r="A183" s="32"/>
      <c r="B183" s="33"/>
      <c r="C183" s="33"/>
      <c r="D183" s="32"/>
      <c r="E183" s="32"/>
      <c r="F183" s="32"/>
      <c r="G183" s="32"/>
      <c r="H183" s="34" t="str">
        <f t="shared" si="4"/>
        <v/>
      </c>
      <c r="I183" s="35">
        <f t="shared" si="5"/>
        <v>0</v>
      </c>
      <c r="J183" s="33"/>
    </row>
    <row r="184" spans="1:10" x14ac:dyDescent="0.25">
      <c r="A184" s="30"/>
      <c r="B184" s="31"/>
      <c r="C184" s="31"/>
      <c r="D184" s="30"/>
      <c r="E184" s="30"/>
      <c r="F184" s="30"/>
      <c r="G184" s="30"/>
      <c r="H184" s="19" t="str">
        <f t="shared" si="4"/>
        <v/>
      </c>
      <c r="I184" s="28">
        <f t="shared" si="5"/>
        <v>0</v>
      </c>
      <c r="J184" s="31"/>
    </row>
    <row r="185" spans="1:10" x14ac:dyDescent="0.25">
      <c r="A185" s="32"/>
      <c r="B185" s="33"/>
      <c r="C185" s="33"/>
      <c r="D185" s="32"/>
      <c r="E185" s="32"/>
      <c r="F185" s="32"/>
      <c r="G185" s="32"/>
      <c r="H185" s="34" t="str">
        <f t="shared" si="4"/>
        <v/>
      </c>
      <c r="I185" s="35">
        <f t="shared" si="5"/>
        <v>0</v>
      </c>
      <c r="J185" s="33"/>
    </row>
    <row r="186" spans="1:10" x14ac:dyDescent="0.25">
      <c r="A186" s="30"/>
      <c r="B186" s="31"/>
      <c r="C186" s="31"/>
      <c r="D186" s="30"/>
      <c r="E186" s="30"/>
      <c r="F186" s="30"/>
      <c r="G186" s="30"/>
      <c r="H186" s="19" t="str">
        <f t="shared" si="4"/>
        <v/>
      </c>
      <c r="I186" s="28">
        <f t="shared" si="5"/>
        <v>0</v>
      </c>
      <c r="J186" s="31"/>
    </row>
    <row r="187" spans="1:10" x14ac:dyDescent="0.25">
      <c r="A187" s="32"/>
      <c r="B187" s="33"/>
      <c r="C187" s="33"/>
      <c r="D187" s="32"/>
      <c r="E187" s="32"/>
      <c r="F187" s="32"/>
      <c r="G187" s="32"/>
      <c r="H187" s="34" t="str">
        <f t="shared" si="4"/>
        <v/>
      </c>
      <c r="I187" s="35">
        <f t="shared" si="5"/>
        <v>0</v>
      </c>
      <c r="J187" s="33"/>
    </row>
    <row r="188" spans="1:10" x14ac:dyDescent="0.25">
      <c r="A188" s="30"/>
      <c r="B188" s="31"/>
      <c r="C188" s="31"/>
      <c r="D188" s="30"/>
      <c r="E188" s="30"/>
      <c r="F188" s="30"/>
      <c r="G188" s="30"/>
      <c r="H188" s="19" t="str">
        <f t="shared" si="4"/>
        <v/>
      </c>
      <c r="I188" s="28">
        <f t="shared" si="5"/>
        <v>0</v>
      </c>
      <c r="J188" s="31"/>
    </row>
    <row r="189" spans="1:10" x14ac:dyDescent="0.25">
      <c r="A189" s="32"/>
      <c r="B189" s="33"/>
      <c r="C189" s="33"/>
      <c r="D189" s="32"/>
      <c r="E189" s="32"/>
      <c r="F189" s="32"/>
      <c r="G189" s="32"/>
      <c r="H189" s="34" t="str">
        <f t="shared" si="4"/>
        <v/>
      </c>
      <c r="I189" s="35">
        <f t="shared" si="5"/>
        <v>0</v>
      </c>
      <c r="J189" s="33"/>
    </row>
    <row r="190" spans="1:10" x14ac:dyDescent="0.25">
      <c r="A190" s="30"/>
      <c r="B190" s="31"/>
      <c r="C190" s="31"/>
      <c r="D190" s="30"/>
      <c r="E190" s="30"/>
      <c r="F190" s="30"/>
      <c r="G190" s="30"/>
      <c r="H190" s="19" t="str">
        <f t="shared" si="4"/>
        <v/>
      </c>
      <c r="I190" s="28">
        <f t="shared" si="5"/>
        <v>0</v>
      </c>
      <c r="J190" s="31"/>
    </row>
    <row r="191" spans="1:10" x14ac:dyDescent="0.25">
      <c r="A191" s="32"/>
      <c r="B191" s="33"/>
      <c r="C191" s="33"/>
      <c r="D191" s="32"/>
      <c r="E191" s="32"/>
      <c r="F191" s="32"/>
      <c r="G191" s="32"/>
      <c r="H191" s="34" t="str">
        <f t="shared" si="4"/>
        <v/>
      </c>
      <c r="I191" s="35">
        <f t="shared" si="5"/>
        <v>0</v>
      </c>
      <c r="J191" s="33"/>
    </row>
    <row r="192" spans="1:10" x14ac:dyDescent="0.25">
      <c r="A192" s="30"/>
      <c r="B192" s="31"/>
      <c r="C192" s="31"/>
      <c r="D192" s="30"/>
      <c r="E192" s="30"/>
      <c r="F192" s="30"/>
      <c r="G192" s="30"/>
      <c r="H192" s="19" t="str">
        <f t="shared" si="4"/>
        <v/>
      </c>
      <c r="I192" s="28">
        <f t="shared" si="5"/>
        <v>0</v>
      </c>
      <c r="J192" s="31"/>
    </row>
    <row r="193" spans="1:10" x14ac:dyDescent="0.25">
      <c r="A193" s="32"/>
      <c r="B193" s="33"/>
      <c r="C193" s="33"/>
      <c r="D193" s="32"/>
      <c r="E193" s="32"/>
      <c r="F193" s="32"/>
      <c r="G193" s="32"/>
      <c r="H193" s="34" t="str">
        <f t="shared" si="4"/>
        <v/>
      </c>
      <c r="I193" s="35">
        <f t="shared" si="5"/>
        <v>0</v>
      </c>
      <c r="J193" s="33"/>
    </row>
    <row r="194" spans="1:10" x14ac:dyDescent="0.25">
      <c r="A194" s="30"/>
      <c r="B194" s="31"/>
      <c r="C194" s="31"/>
      <c r="D194" s="30"/>
      <c r="E194" s="30"/>
      <c r="F194" s="30"/>
      <c r="G194" s="30"/>
      <c r="H194" s="19" t="str">
        <f t="shared" ref="H194:H257" si="6">IF(F194&gt;0, F194-G194, "")</f>
        <v/>
      </c>
      <c r="I194" s="28">
        <f t="shared" ref="I194:I257" si="7">IF(F194&gt;0, G194/F194, 0)</f>
        <v>0</v>
      </c>
      <c r="J194" s="31"/>
    </row>
    <row r="195" spans="1:10" x14ac:dyDescent="0.25">
      <c r="A195" s="32"/>
      <c r="B195" s="33"/>
      <c r="C195" s="33"/>
      <c r="D195" s="32"/>
      <c r="E195" s="32"/>
      <c r="F195" s="32"/>
      <c r="G195" s="32"/>
      <c r="H195" s="34" t="str">
        <f t="shared" si="6"/>
        <v/>
      </c>
      <c r="I195" s="35">
        <f t="shared" si="7"/>
        <v>0</v>
      </c>
      <c r="J195" s="33"/>
    </row>
    <row r="196" spans="1:10" x14ac:dyDescent="0.25">
      <c r="A196" s="30"/>
      <c r="B196" s="31"/>
      <c r="C196" s="31"/>
      <c r="D196" s="30"/>
      <c r="E196" s="30"/>
      <c r="F196" s="30"/>
      <c r="G196" s="30"/>
      <c r="H196" s="19" t="str">
        <f t="shared" si="6"/>
        <v/>
      </c>
      <c r="I196" s="28">
        <f t="shared" si="7"/>
        <v>0</v>
      </c>
      <c r="J196" s="31"/>
    </row>
    <row r="197" spans="1:10" x14ac:dyDescent="0.25">
      <c r="A197" s="32"/>
      <c r="B197" s="33"/>
      <c r="C197" s="33"/>
      <c r="D197" s="32"/>
      <c r="E197" s="32"/>
      <c r="F197" s="32"/>
      <c r="G197" s="32"/>
      <c r="H197" s="34" t="str">
        <f t="shared" si="6"/>
        <v/>
      </c>
      <c r="I197" s="35">
        <f t="shared" si="7"/>
        <v>0</v>
      </c>
      <c r="J197" s="33"/>
    </row>
    <row r="198" spans="1:10" x14ac:dyDescent="0.25">
      <c r="A198" s="30"/>
      <c r="B198" s="31"/>
      <c r="C198" s="31"/>
      <c r="D198" s="30"/>
      <c r="E198" s="30"/>
      <c r="F198" s="30"/>
      <c r="G198" s="30"/>
      <c r="H198" s="19" t="str">
        <f t="shared" si="6"/>
        <v/>
      </c>
      <c r="I198" s="28">
        <f t="shared" si="7"/>
        <v>0</v>
      </c>
      <c r="J198" s="31"/>
    </row>
    <row r="199" spans="1:10" x14ac:dyDescent="0.25">
      <c r="A199" s="32"/>
      <c r="B199" s="33"/>
      <c r="C199" s="33"/>
      <c r="D199" s="32"/>
      <c r="E199" s="32"/>
      <c r="F199" s="32"/>
      <c r="G199" s="32"/>
      <c r="H199" s="34" t="str">
        <f t="shared" si="6"/>
        <v/>
      </c>
      <c r="I199" s="35">
        <f t="shared" si="7"/>
        <v>0</v>
      </c>
      <c r="J199" s="33"/>
    </row>
    <row r="200" spans="1:10" x14ac:dyDescent="0.25">
      <c r="A200" s="30"/>
      <c r="B200" s="31"/>
      <c r="C200" s="31"/>
      <c r="D200" s="30"/>
      <c r="E200" s="30"/>
      <c r="F200" s="30"/>
      <c r="G200" s="30"/>
      <c r="H200" s="19" t="str">
        <f t="shared" si="6"/>
        <v/>
      </c>
      <c r="I200" s="28">
        <f t="shared" si="7"/>
        <v>0</v>
      </c>
      <c r="J200" s="31"/>
    </row>
    <row r="201" spans="1:10" x14ac:dyDescent="0.25">
      <c r="A201" s="32"/>
      <c r="B201" s="33"/>
      <c r="C201" s="33"/>
      <c r="D201" s="32"/>
      <c r="E201" s="32"/>
      <c r="F201" s="32"/>
      <c r="G201" s="32"/>
      <c r="H201" s="34" t="str">
        <f t="shared" si="6"/>
        <v/>
      </c>
      <c r="I201" s="35">
        <f t="shared" si="7"/>
        <v>0</v>
      </c>
      <c r="J201" s="33"/>
    </row>
    <row r="202" spans="1:10" x14ac:dyDescent="0.25">
      <c r="A202" s="30"/>
      <c r="B202" s="31"/>
      <c r="C202" s="31"/>
      <c r="D202" s="30"/>
      <c r="E202" s="30"/>
      <c r="F202" s="30"/>
      <c r="G202" s="30"/>
      <c r="H202" s="19" t="str">
        <f t="shared" si="6"/>
        <v/>
      </c>
      <c r="I202" s="28">
        <f t="shared" si="7"/>
        <v>0</v>
      </c>
      <c r="J202" s="31"/>
    </row>
    <row r="203" spans="1:10" x14ac:dyDescent="0.25">
      <c r="A203" s="32"/>
      <c r="B203" s="33"/>
      <c r="C203" s="33"/>
      <c r="D203" s="32"/>
      <c r="E203" s="32"/>
      <c r="F203" s="32"/>
      <c r="G203" s="32"/>
      <c r="H203" s="34" t="str">
        <f t="shared" si="6"/>
        <v/>
      </c>
      <c r="I203" s="35">
        <f t="shared" si="7"/>
        <v>0</v>
      </c>
      <c r="J203" s="33"/>
    </row>
    <row r="204" spans="1:10" x14ac:dyDescent="0.25">
      <c r="A204" s="30"/>
      <c r="B204" s="31"/>
      <c r="C204" s="31"/>
      <c r="D204" s="30"/>
      <c r="E204" s="30"/>
      <c r="F204" s="30"/>
      <c r="G204" s="30"/>
      <c r="H204" s="19" t="str">
        <f t="shared" si="6"/>
        <v/>
      </c>
      <c r="I204" s="28">
        <f t="shared" si="7"/>
        <v>0</v>
      </c>
      <c r="J204" s="31"/>
    </row>
    <row r="205" spans="1:10" x14ac:dyDescent="0.25">
      <c r="A205" s="32"/>
      <c r="B205" s="33"/>
      <c r="C205" s="33"/>
      <c r="D205" s="32"/>
      <c r="E205" s="32"/>
      <c r="F205" s="32"/>
      <c r="G205" s="32"/>
      <c r="H205" s="34" t="str">
        <f t="shared" si="6"/>
        <v/>
      </c>
      <c r="I205" s="35">
        <f t="shared" si="7"/>
        <v>0</v>
      </c>
      <c r="J205" s="33"/>
    </row>
    <row r="206" spans="1:10" x14ac:dyDescent="0.25">
      <c r="A206" s="30"/>
      <c r="B206" s="31"/>
      <c r="C206" s="31"/>
      <c r="D206" s="30"/>
      <c r="E206" s="30"/>
      <c r="F206" s="30"/>
      <c r="G206" s="30"/>
      <c r="H206" s="19" t="str">
        <f t="shared" si="6"/>
        <v/>
      </c>
      <c r="I206" s="28">
        <f t="shared" si="7"/>
        <v>0</v>
      </c>
      <c r="J206" s="31"/>
    </row>
    <row r="207" spans="1:10" x14ac:dyDescent="0.25">
      <c r="A207" s="32"/>
      <c r="B207" s="33"/>
      <c r="C207" s="33"/>
      <c r="D207" s="32"/>
      <c r="E207" s="32"/>
      <c r="F207" s="32"/>
      <c r="G207" s="32"/>
      <c r="H207" s="34" t="str">
        <f t="shared" si="6"/>
        <v/>
      </c>
      <c r="I207" s="35">
        <f t="shared" si="7"/>
        <v>0</v>
      </c>
      <c r="J207" s="33"/>
    </row>
    <row r="208" spans="1:10" x14ac:dyDescent="0.25">
      <c r="A208" s="30"/>
      <c r="B208" s="31"/>
      <c r="C208" s="31"/>
      <c r="D208" s="30"/>
      <c r="E208" s="30"/>
      <c r="F208" s="30"/>
      <c r="G208" s="30"/>
      <c r="H208" s="19" t="str">
        <f t="shared" si="6"/>
        <v/>
      </c>
      <c r="I208" s="28">
        <f t="shared" si="7"/>
        <v>0</v>
      </c>
      <c r="J208" s="31"/>
    </row>
    <row r="209" spans="1:10" x14ac:dyDescent="0.25">
      <c r="A209" s="32"/>
      <c r="B209" s="33"/>
      <c r="C209" s="33"/>
      <c r="D209" s="32"/>
      <c r="E209" s="32"/>
      <c r="F209" s="32"/>
      <c r="G209" s="32"/>
      <c r="H209" s="34" t="str">
        <f t="shared" si="6"/>
        <v/>
      </c>
      <c r="I209" s="35">
        <f t="shared" si="7"/>
        <v>0</v>
      </c>
      <c r="J209" s="33"/>
    </row>
    <row r="210" spans="1:10" x14ac:dyDescent="0.25">
      <c r="A210" s="30"/>
      <c r="B210" s="31"/>
      <c r="C210" s="31"/>
      <c r="D210" s="30"/>
      <c r="E210" s="30"/>
      <c r="F210" s="30"/>
      <c r="G210" s="30"/>
      <c r="H210" s="19" t="str">
        <f t="shared" si="6"/>
        <v/>
      </c>
      <c r="I210" s="28">
        <f t="shared" si="7"/>
        <v>0</v>
      </c>
      <c r="J210" s="31"/>
    </row>
    <row r="211" spans="1:10" x14ac:dyDescent="0.25">
      <c r="A211" s="32"/>
      <c r="B211" s="33"/>
      <c r="C211" s="33"/>
      <c r="D211" s="32"/>
      <c r="E211" s="32"/>
      <c r="F211" s="32"/>
      <c r="G211" s="32"/>
      <c r="H211" s="34" t="str">
        <f t="shared" si="6"/>
        <v/>
      </c>
      <c r="I211" s="35">
        <f t="shared" si="7"/>
        <v>0</v>
      </c>
      <c r="J211" s="33"/>
    </row>
    <row r="212" spans="1:10" x14ac:dyDescent="0.25">
      <c r="A212" s="30"/>
      <c r="B212" s="31"/>
      <c r="C212" s="31"/>
      <c r="D212" s="30"/>
      <c r="E212" s="30"/>
      <c r="F212" s="30"/>
      <c r="G212" s="30"/>
      <c r="H212" s="19" t="str">
        <f t="shared" si="6"/>
        <v/>
      </c>
      <c r="I212" s="28">
        <f t="shared" si="7"/>
        <v>0</v>
      </c>
      <c r="J212" s="31"/>
    </row>
    <row r="213" spans="1:10" x14ac:dyDescent="0.25">
      <c r="A213" s="32"/>
      <c r="B213" s="33"/>
      <c r="C213" s="33"/>
      <c r="D213" s="32"/>
      <c r="E213" s="32"/>
      <c r="F213" s="32"/>
      <c r="G213" s="32"/>
      <c r="H213" s="34" t="str">
        <f t="shared" si="6"/>
        <v/>
      </c>
      <c r="I213" s="35">
        <f t="shared" si="7"/>
        <v>0</v>
      </c>
      <c r="J213" s="33"/>
    </row>
    <row r="214" spans="1:10" x14ac:dyDescent="0.25">
      <c r="A214" s="30"/>
      <c r="B214" s="31"/>
      <c r="C214" s="31"/>
      <c r="D214" s="30"/>
      <c r="E214" s="30"/>
      <c r="F214" s="30"/>
      <c r="G214" s="30"/>
      <c r="H214" s="19" t="str">
        <f t="shared" si="6"/>
        <v/>
      </c>
      <c r="I214" s="28">
        <f t="shared" si="7"/>
        <v>0</v>
      </c>
      <c r="J214" s="31"/>
    </row>
    <row r="215" spans="1:10" x14ac:dyDescent="0.25">
      <c r="A215" s="32"/>
      <c r="B215" s="33"/>
      <c r="C215" s="33"/>
      <c r="D215" s="32"/>
      <c r="E215" s="32"/>
      <c r="F215" s="32"/>
      <c r="G215" s="32"/>
      <c r="H215" s="34" t="str">
        <f t="shared" si="6"/>
        <v/>
      </c>
      <c r="I215" s="35">
        <f t="shared" si="7"/>
        <v>0</v>
      </c>
      <c r="J215" s="33"/>
    </row>
    <row r="216" spans="1:10" x14ac:dyDescent="0.25">
      <c r="A216" s="30"/>
      <c r="B216" s="31"/>
      <c r="C216" s="31"/>
      <c r="D216" s="30"/>
      <c r="E216" s="30"/>
      <c r="F216" s="30"/>
      <c r="G216" s="30"/>
      <c r="H216" s="19" t="str">
        <f t="shared" si="6"/>
        <v/>
      </c>
      <c r="I216" s="28">
        <f t="shared" si="7"/>
        <v>0</v>
      </c>
      <c r="J216" s="31"/>
    </row>
    <row r="217" spans="1:10" x14ac:dyDescent="0.25">
      <c r="A217" s="32"/>
      <c r="B217" s="33"/>
      <c r="C217" s="33"/>
      <c r="D217" s="32"/>
      <c r="E217" s="32"/>
      <c r="F217" s="32"/>
      <c r="G217" s="32"/>
      <c r="H217" s="34" t="str">
        <f t="shared" si="6"/>
        <v/>
      </c>
      <c r="I217" s="35">
        <f t="shared" si="7"/>
        <v>0</v>
      </c>
      <c r="J217" s="33"/>
    </row>
    <row r="218" spans="1:10" x14ac:dyDescent="0.25">
      <c r="A218" s="30"/>
      <c r="B218" s="31"/>
      <c r="C218" s="31"/>
      <c r="D218" s="30"/>
      <c r="E218" s="30"/>
      <c r="F218" s="30"/>
      <c r="G218" s="30"/>
      <c r="H218" s="19" t="str">
        <f t="shared" si="6"/>
        <v/>
      </c>
      <c r="I218" s="28">
        <f t="shared" si="7"/>
        <v>0</v>
      </c>
      <c r="J218" s="31"/>
    </row>
    <row r="219" spans="1:10" x14ac:dyDescent="0.25">
      <c r="A219" s="32"/>
      <c r="B219" s="33"/>
      <c r="C219" s="33"/>
      <c r="D219" s="32"/>
      <c r="E219" s="32"/>
      <c r="F219" s="32"/>
      <c r="G219" s="32"/>
      <c r="H219" s="34" t="str">
        <f t="shared" si="6"/>
        <v/>
      </c>
      <c r="I219" s="35">
        <f t="shared" si="7"/>
        <v>0</v>
      </c>
      <c r="J219" s="33"/>
    </row>
    <row r="220" spans="1:10" x14ac:dyDescent="0.25">
      <c r="A220" s="30"/>
      <c r="B220" s="31"/>
      <c r="C220" s="31"/>
      <c r="D220" s="30"/>
      <c r="E220" s="30"/>
      <c r="F220" s="30"/>
      <c r="G220" s="30"/>
      <c r="H220" s="19" t="str">
        <f t="shared" si="6"/>
        <v/>
      </c>
      <c r="I220" s="28">
        <f t="shared" si="7"/>
        <v>0</v>
      </c>
      <c r="J220" s="31"/>
    </row>
    <row r="221" spans="1:10" x14ac:dyDescent="0.25">
      <c r="A221" s="32"/>
      <c r="B221" s="33"/>
      <c r="C221" s="33"/>
      <c r="D221" s="32"/>
      <c r="E221" s="32"/>
      <c r="F221" s="32"/>
      <c r="G221" s="32"/>
      <c r="H221" s="34" t="str">
        <f t="shared" si="6"/>
        <v/>
      </c>
      <c r="I221" s="35">
        <f t="shared" si="7"/>
        <v>0</v>
      </c>
      <c r="J221" s="33"/>
    </row>
    <row r="222" spans="1:10" x14ac:dyDescent="0.25">
      <c r="A222" s="30"/>
      <c r="B222" s="31"/>
      <c r="C222" s="31"/>
      <c r="D222" s="30"/>
      <c r="E222" s="30"/>
      <c r="F222" s="30"/>
      <c r="G222" s="30"/>
      <c r="H222" s="19" t="str">
        <f t="shared" si="6"/>
        <v/>
      </c>
      <c r="I222" s="28">
        <f t="shared" si="7"/>
        <v>0</v>
      </c>
      <c r="J222" s="31"/>
    </row>
    <row r="223" spans="1:10" x14ac:dyDescent="0.25">
      <c r="A223" s="32"/>
      <c r="B223" s="33"/>
      <c r="C223" s="33"/>
      <c r="D223" s="32"/>
      <c r="E223" s="32"/>
      <c r="F223" s="32"/>
      <c r="G223" s="32"/>
      <c r="H223" s="34" t="str">
        <f t="shared" si="6"/>
        <v/>
      </c>
      <c r="I223" s="35">
        <f t="shared" si="7"/>
        <v>0</v>
      </c>
      <c r="J223" s="33"/>
    </row>
    <row r="224" spans="1:10" x14ac:dyDescent="0.25">
      <c r="A224" s="30"/>
      <c r="B224" s="31"/>
      <c r="C224" s="31"/>
      <c r="D224" s="30"/>
      <c r="E224" s="30"/>
      <c r="F224" s="30"/>
      <c r="G224" s="30"/>
      <c r="H224" s="19" t="str">
        <f t="shared" si="6"/>
        <v/>
      </c>
      <c r="I224" s="28">
        <f t="shared" si="7"/>
        <v>0</v>
      </c>
      <c r="J224" s="31"/>
    </row>
    <row r="225" spans="1:10" x14ac:dyDescent="0.25">
      <c r="A225" s="32"/>
      <c r="B225" s="33"/>
      <c r="C225" s="33"/>
      <c r="D225" s="32"/>
      <c r="E225" s="32"/>
      <c r="F225" s="32"/>
      <c r="G225" s="32"/>
      <c r="H225" s="34" t="str">
        <f t="shared" si="6"/>
        <v/>
      </c>
      <c r="I225" s="35">
        <f t="shared" si="7"/>
        <v>0</v>
      </c>
      <c r="J225" s="33"/>
    </row>
    <row r="226" spans="1:10" x14ac:dyDescent="0.25">
      <c r="A226" s="30"/>
      <c r="B226" s="31"/>
      <c r="C226" s="31"/>
      <c r="D226" s="30"/>
      <c r="E226" s="30"/>
      <c r="F226" s="30"/>
      <c r="G226" s="30"/>
      <c r="H226" s="19" t="str">
        <f t="shared" si="6"/>
        <v/>
      </c>
      <c r="I226" s="28">
        <f t="shared" si="7"/>
        <v>0</v>
      </c>
      <c r="J226" s="31"/>
    </row>
    <row r="227" spans="1:10" x14ac:dyDescent="0.25">
      <c r="A227" s="32"/>
      <c r="B227" s="33"/>
      <c r="C227" s="33"/>
      <c r="D227" s="32"/>
      <c r="E227" s="32"/>
      <c r="F227" s="32"/>
      <c r="G227" s="32"/>
      <c r="H227" s="34" t="str">
        <f t="shared" si="6"/>
        <v/>
      </c>
      <c r="I227" s="35">
        <f t="shared" si="7"/>
        <v>0</v>
      </c>
      <c r="J227" s="33"/>
    </row>
    <row r="228" spans="1:10" x14ac:dyDescent="0.25">
      <c r="A228" s="30"/>
      <c r="B228" s="31"/>
      <c r="C228" s="31"/>
      <c r="D228" s="30"/>
      <c r="E228" s="30"/>
      <c r="F228" s="30"/>
      <c r="G228" s="30"/>
      <c r="H228" s="19" t="str">
        <f t="shared" si="6"/>
        <v/>
      </c>
      <c r="I228" s="28">
        <f t="shared" si="7"/>
        <v>0</v>
      </c>
      <c r="J228" s="31"/>
    </row>
    <row r="229" spans="1:10" x14ac:dyDescent="0.25">
      <c r="A229" s="32"/>
      <c r="B229" s="33"/>
      <c r="C229" s="33"/>
      <c r="D229" s="32"/>
      <c r="E229" s="32"/>
      <c r="F229" s="32"/>
      <c r="G229" s="32"/>
      <c r="H229" s="34" t="str">
        <f t="shared" si="6"/>
        <v/>
      </c>
      <c r="I229" s="35">
        <f t="shared" si="7"/>
        <v>0</v>
      </c>
      <c r="J229" s="33"/>
    </row>
    <row r="230" spans="1:10" x14ac:dyDescent="0.25">
      <c r="A230" s="30"/>
      <c r="B230" s="31"/>
      <c r="C230" s="31"/>
      <c r="D230" s="30"/>
      <c r="E230" s="30"/>
      <c r="F230" s="30"/>
      <c r="G230" s="30"/>
      <c r="H230" s="19" t="str">
        <f t="shared" si="6"/>
        <v/>
      </c>
      <c r="I230" s="28">
        <f t="shared" si="7"/>
        <v>0</v>
      </c>
      <c r="J230" s="31"/>
    </row>
    <row r="231" spans="1:10" x14ac:dyDescent="0.25">
      <c r="A231" s="32"/>
      <c r="B231" s="33"/>
      <c r="C231" s="33"/>
      <c r="D231" s="32"/>
      <c r="E231" s="32"/>
      <c r="F231" s="32"/>
      <c r="G231" s="32"/>
      <c r="H231" s="34" t="str">
        <f t="shared" si="6"/>
        <v/>
      </c>
      <c r="I231" s="35">
        <f t="shared" si="7"/>
        <v>0</v>
      </c>
      <c r="J231" s="33"/>
    </row>
    <row r="232" spans="1:10" x14ac:dyDescent="0.25">
      <c r="A232" s="30"/>
      <c r="B232" s="31"/>
      <c r="C232" s="31"/>
      <c r="D232" s="30"/>
      <c r="E232" s="30"/>
      <c r="F232" s="30"/>
      <c r="G232" s="30"/>
      <c r="H232" s="19" t="str">
        <f t="shared" si="6"/>
        <v/>
      </c>
      <c r="I232" s="28">
        <f t="shared" si="7"/>
        <v>0</v>
      </c>
      <c r="J232" s="31"/>
    </row>
    <row r="233" spans="1:10" x14ac:dyDescent="0.25">
      <c r="A233" s="32"/>
      <c r="B233" s="33"/>
      <c r="C233" s="33"/>
      <c r="D233" s="32"/>
      <c r="E233" s="32"/>
      <c r="F233" s="32"/>
      <c r="G233" s="32"/>
      <c r="H233" s="34" t="str">
        <f t="shared" si="6"/>
        <v/>
      </c>
      <c r="I233" s="35">
        <f t="shared" si="7"/>
        <v>0</v>
      </c>
      <c r="J233" s="33"/>
    </row>
    <row r="234" spans="1:10" x14ac:dyDescent="0.25">
      <c r="A234" s="30"/>
      <c r="B234" s="31"/>
      <c r="C234" s="31"/>
      <c r="D234" s="30"/>
      <c r="E234" s="30"/>
      <c r="F234" s="30"/>
      <c r="G234" s="30"/>
      <c r="H234" s="19" t="str">
        <f t="shared" si="6"/>
        <v/>
      </c>
      <c r="I234" s="28">
        <f t="shared" si="7"/>
        <v>0</v>
      </c>
      <c r="J234" s="31"/>
    </row>
    <row r="235" spans="1:10" x14ac:dyDescent="0.25">
      <c r="A235" s="32"/>
      <c r="B235" s="33"/>
      <c r="C235" s="33"/>
      <c r="D235" s="32"/>
      <c r="E235" s="32"/>
      <c r="F235" s="32"/>
      <c r="G235" s="32"/>
      <c r="H235" s="34" t="str">
        <f t="shared" si="6"/>
        <v/>
      </c>
      <c r="I235" s="35">
        <f t="shared" si="7"/>
        <v>0</v>
      </c>
      <c r="J235" s="33"/>
    </row>
    <row r="236" spans="1:10" x14ac:dyDescent="0.25">
      <c r="A236" s="30"/>
      <c r="B236" s="31"/>
      <c r="C236" s="31"/>
      <c r="D236" s="30"/>
      <c r="E236" s="30"/>
      <c r="F236" s="30"/>
      <c r="G236" s="30"/>
      <c r="H236" s="19" t="str">
        <f t="shared" si="6"/>
        <v/>
      </c>
      <c r="I236" s="28">
        <f t="shared" si="7"/>
        <v>0</v>
      </c>
      <c r="J236" s="31"/>
    </row>
    <row r="237" spans="1:10" x14ac:dyDescent="0.25">
      <c r="A237" s="32"/>
      <c r="B237" s="33"/>
      <c r="C237" s="33"/>
      <c r="D237" s="32"/>
      <c r="E237" s="32"/>
      <c r="F237" s="32"/>
      <c r="G237" s="32"/>
      <c r="H237" s="34" t="str">
        <f t="shared" si="6"/>
        <v/>
      </c>
      <c r="I237" s="35">
        <f t="shared" si="7"/>
        <v>0</v>
      </c>
      <c r="J237" s="33"/>
    </row>
    <row r="238" spans="1:10" x14ac:dyDescent="0.25">
      <c r="A238" s="30"/>
      <c r="B238" s="31"/>
      <c r="C238" s="31"/>
      <c r="D238" s="30"/>
      <c r="E238" s="30"/>
      <c r="F238" s="30"/>
      <c r="G238" s="30"/>
      <c r="H238" s="19" t="str">
        <f t="shared" si="6"/>
        <v/>
      </c>
      <c r="I238" s="28">
        <f t="shared" si="7"/>
        <v>0</v>
      </c>
      <c r="J238" s="31"/>
    </row>
    <row r="239" spans="1:10" x14ac:dyDescent="0.25">
      <c r="A239" s="32"/>
      <c r="B239" s="33"/>
      <c r="C239" s="33"/>
      <c r="D239" s="32"/>
      <c r="E239" s="32"/>
      <c r="F239" s="32"/>
      <c r="G239" s="32"/>
      <c r="H239" s="34" t="str">
        <f t="shared" si="6"/>
        <v/>
      </c>
      <c r="I239" s="35">
        <f t="shared" si="7"/>
        <v>0</v>
      </c>
      <c r="J239" s="33"/>
    </row>
    <row r="240" spans="1:10" x14ac:dyDescent="0.25">
      <c r="A240" s="30"/>
      <c r="B240" s="31"/>
      <c r="C240" s="31"/>
      <c r="D240" s="30"/>
      <c r="E240" s="30"/>
      <c r="F240" s="30"/>
      <c r="G240" s="30"/>
      <c r="H240" s="19" t="str">
        <f t="shared" si="6"/>
        <v/>
      </c>
      <c r="I240" s="28">
        <f t="shared" si="7"/>
        <v>0</v>
      </c>
      <c r="J240" s="31"/>
    </row>
    <row r="241" spans="1:10" x14ac:dyDescent="0.25">
      <c r="A241" s="32"/>
      <c r="B241" s="33"/>
      <c r="C241" s="33"/>
      <c r="D241" s="32"/>
      <c r="E241" s="32"/>
      <c r="F241" s="32"/>
      <c r="G241" s="32"/>
      <c r="H241" s="34" t="str">
        <f t="shared" si="6"/>
        <v/>
      </c>
      <c r="I241" s="35">
        <f t="shared" si="7"/>
        <v>0</v>
      </c>
      <c r="J241" s="33"/>
    </row>
    <row r="242" spans="1:10" x14ac:dyDescent="0.25">
      <c r="A242" s="30"/>
      <c r="B242" s="31"/>
      <c r="C242" s="31"/>
      <c r="D242" s="30"/>
      <c r="E242" s="30"/>
      <c r="F242" s="30"/>
      <c r="G242" s="30"/>
      <c r="H242" s="19" t="str">
        <f t="shared" si="6"/>
        <v/>
      </c>
      <c r="I242" s="28">
        <f t="shared" si="7"/>
        <v>0</v>
      </c>
      <c r="J242" s="31"/>
    </row>
    <row r="243" spans="1:10" x14ac:dyDescent="0.25">
      <c r="A243" s="32"/>
      <c r="B243" s="33"/>
      <c r="C243" s="33"/>
      <c r="D243" s="32"/>
      <c r="E243" s="32"/>
      <c r="F243" s="32"/>
      <c r="G243" s="32"/>
      <c r="H243" s="34" t="str">
        <f t="shared" si="6"/>
        <v/>
      </c>
      <c r="I243" s="35">
        <f t="shared" si="7"/>
        <v>0</v>
      </c>
      <c r="J243" s="33"/>
    </row>
    <row r="244" spans="1:10" x14ac:dyDescent="0.25">
      <c r="A244" s="30"/>
      <c r="B244" s="31"/>
      <c r="C244" s="31"/>
      <c r="D244" s="30"/>
      <c r="E244" s="30"/>
      <c r="F244" s="30"/>
      <c r="G244" s="30"/>
      <c r="H244" s="19" t="str">
        <f t="shared" si="6"/>
        <v/>
      </c>
      <c r="I244" s="28">
        <f t="shared" si="7"/>
        <v>0</v>
      </c>
      <c r="J244" s="31"/>
    </row>
    <row r="245" spans="1:10" x14ac:dyDescent="0.25">
      <c r="A245" s="32"/>
      <c r="B245" s="33"/>
      <c r="C245" s="33"/>
      <c r="D245" s="32"/>
      <c r="E245" s="32"/>
      <c r="F245" s="32"/>
      <c r="G245" s="32"/>
      <c r="H245" s="34" t="str">
        <f t="shared" si="6"/>
        <v/>
      </c>
      <c r="I245" s="35">
        <f t="shared" si="7"/>
        <v>0</v>
      </c>
      <c r="J245" s="33"/>
    </row>
    <row r="246" spans="1:10" x14ac:dyDescent="0.25">
      <c r="A246" s="30"/>
      <c r="B246" s="31"/>
      <c r="C246" s="31"/>
      <c r="D246" s="30"/>
      <c r="E246" s="30"/>
      <c r="F246" s="30"/>
      <c r="G246" s="30"/>
      <c r="H246" s="19" t="str">
        <f t="shared" si="6"/>
        <v/>
      </c>
      <c r="I246" s="28">
        <f t="shared" si="7"/>
        <v>0</v>
      </c>
      <c r="J246" s="31"/>
    </row>
    <row r="247" spans="1:10" x14ac:dyDescent="0.25">
      <c r="A247" s="32"/>
      <c r="B247" s="33"/>
      <c r="C247" s="33"/>
      <c r="D247" s="32"/>
      <c r="E247" s="32"/>
      <c r="F247" s="32"/>
      <c r="G247" s="32"/>
      <c r="H247" s="34" t="str">
        <f t="shared" si="6"/>
        <v/>
      </c>
      <c r="I247" s="35">
        <f t="shared" si="7"/>
        <v>0</v>
      </c>
      <c r="J247" s="33"/>
    </row>
    <row r="248" spans="1:10" x14ac:dyDescent="0.25">
      <c r="A248" s="30"/>
      <c r="B248" s="31"/>
      <c r="C248" s="31"/>
      <c r="D248" s="30"/>
      <c r="E248" s="30"/>
      <c r="F248" s="30"/>
      <c r="G248" s="30"/>
      <c r="H248" s="19" t="str">
        <f t="shared" si="6"/>
        <v/>
      </c>
      <c r="I248" s="28">
        <f t="shared" si="7"/>
        <v>0</v>
      </c>
      <c r="J248" s="31"/>
    </row>
    <row r="249" spans="1:10" x14ac:dyDescent="0.25">
      <c r="A249" s="32"/>
      <c r="B249" s="33"/>
      <c r="C249" s="33"/>
      <c r="D249" s="32"/>
      <c r="E249" s="32"/>
      <c r="F249" s="32"/>
      <c r="G249" s="32"/>
      <c r="H249" s="34" t="str">
        <f t="shared" si="6"/>
        <v/>
      </c>
      <c r="I249" s="35">
        <f t="shared" si="7"/>
        <v>0</v>
      </c>
      <c r="J249" s="33"/>
    </row>
    <row r="250" spans="1:10" x14ac:dyDescent="0.25">
      <c r="A250" s="30"/>
      <c r="B250" s="31"/>
      <c r="C250" s="31"/>
      <c r="D250" s="30"/>
      <c r="E250" s="30"/>
      <c r="F250" s="30"/>
      <c r="G250" s="30"/>
      <c r="H250" s="19" t="str">
        <f t="shared" si="6"/>
        <v/>
      </c>
      <c r="I250" s="28">
        <f t="shared" si="7"/>
        <v>0</v>
      </c>
      <c r="J250" s="31"/>
    </row>
    <row r="251" spans="1:10" x14ac:dyDescent="0.25">
      <c r="A251" s="32"/>
      <c r="B251" s="33"/>
      <c r="C251" s="33"/>
      <c r="D251" s="32"/>
      <c r="E251" s="32"/>
      <c r="F251" s="32"/>
      <c r="G251" s="32"/>
      <c r="H251" s="34" t="str">
        <f t="shared" si="6"/>
        <v/>
      </c>
      <c r="I251" s="35">
        <f t="shared" si="7"/>
        <v>0</v>
      </c>
      <c r="J251" s="33"/>
    </row>
    <row r="252" spans="1:10" x14ac:dyDescent="0.25">
      <c r="A252" s="30"/>
      <c r="B252" s="31"/>
      <c r="C252" s="31"/>
      <c r="D252" s="30"/>
      <c r="E252" s="30"/>
      <c r="F252" s="30"/>
      <c r="G252" s="30"/>
      <c r="H252" s="19" t="str">
        <f t="shared" si="6"/>
        <v/>
      </c>
      <c r="I252" s="28">
        <f t="shared" si="7"/>
        <v>0</v>
      </c>
      <c r="J252" s="31"/>
    </row>
    <row r="253" spans="1:10" x14ac:dyDescent="0.25">
      <c r="A253" s="32"/>
      <c r="B253" s="33"/>
      <c r="C253" s="33"/>
      <c r="D253" s="32"/>
      <c r="E253" s="32"/>
      <c r="F253" s="32"/>
      <c r="G253" s="32"/>
      <c r="H253" s="34" t="str">
        <f t="shared" si="6"/>
        <v/>
      </c>
      <c r="I253" s="35">
        <f t="shared" si="7"/>
        <v>0</v>
      </c>
      <c r="J253" s="33"/>
    </row>
    <row r="254" spans="1:10" x14ac:dyDescent="0.25">
      <c r="A254" s="30"/>
      <c r="B254" s="31"/>
      <c r="C254" s="31"/>
      <c r="D254" s="30"/>
      <c r="E254" s="30"/>
      <c r="F254" s="30"/>
      <c r="G254" s="30"/>
      <c r="H254" s="19" t="str">
        <f t="shared" si="6"/>
        <v/>
      </c>
      <c r="I254" s="28">
        <f t="shared" si="7"/>
        <v>0</v>
      </c>
      <c r="J254" s="31"/>
    </row>
    <row r="255" spans="1:10" x14ac:dyDescent="0.25">
      <c r="A255" s="32"/>
      <c r="B255" s="33"/>
      <c r="C255" s="33"/>
      <c r="D255" s="32"/>
      <c r="E255" s="32"/>
      <c r="F255" s="32"/>
      <c r="G255" s="32"/>
      <c r="H255" s="34" t="str">
        <f t="shared" si="6"/>
        <v/>
      </c>
      <c r="I255" s="35">
        <f t="shared" si="7"/>
        <v>0</v>
      </c>
      <c r="J255" s="33"/>
    </row>
    <row r="256" spans="1:10" x14ac:dyDescent="0.25">
      <c r="A256" s="30"/>
      <c r="B256" s="31"/>
      <c r="C256" s="31"/>
      <c r="D256" s="30"/>
      <c r="E256" s="30"/>
      <c r="F256" s="30"/>
      <c r="G256" s="30"/>
      <c r="H256" s="19" t="str">
        <f t="shared" si="6"/>
        <v/>
      </c>
      <c r="I256" s="28">
        <f t="shared" si="7"/>
        <v>0</v>
      </c>
      <c r="J256" s="31"/>
    </row>
    <row r="257" spans="1:10" x14ac:dyDescent="0.25">
      <c r="A257" s="32"/>
      <c r="B257" s="33"/>
      <c r="C257" s="33"/>
      <c r="D257" s="32"/>
      <c r="E257" s="32"/>
      <c r="F257" s="32"/>
      <c r="G257" s="32"/>
      <c r="H257" s="34" t="str">
        <f t="shared" si="6"/>
        <v/>
      </c>
      <c r="I257" s="35">
        <f t="shared" si="7"/>
        <v>0</v>
      </c>
      <c r="J257" s="33"/>
    </row>
    <row r="258" spans="1:10" x14ac:dyDescent="0.25">
      <c r="A258" s="30"/>
      <c r="B258" s="31"/>
      <c r="C258" s="31"/>
      <c r="D258" s="30"/>
      <c r="E258" s="30"/>
      <c r="F258" s="30"/>
      <c r="G258" s="30"/>
      <c r="H258" s="19" t="str">
        <f t="shared" ref="H258:H321" si="8">IF(F258&gt;0, F258-G258, "")</f>
        <v/>
      </c>
      <c r="I258" s="28">
        <f t="shared" ref="I258:I321" si="9">IF(F258&gt;0, G258/F258, 0)</f>
        <v>0</v>
      </c>
      <c r="J258" s="31"/>
    </row>
    <row r="259" spans="1:10" x14ac:dyDescent="0.25">
      <c r="A259" s="32"/>
      <c r="B259" s="33"/>
      <c r="C259" s="33"/>
      <c r="D259" s="32"/>
      <c r="E259" s="32"/>
      <c r="F259" s="32"/>
      <c r="G259" s="32"/>
      <c r="H259" s="34" t="str">
        <f t="shared" si="8"/>
        <v/>
      </c>
      <c r="I259" s="35">
        <f t="shared" si="9"/>
        <v>0</v>
      </c>
      <c r="J259" s="33"/>
    </row>
    <row r="260" spans="1:10" x14ac:dyDescent="0.25">
      <c r="A260" s="30"/>
      <c r="B260" s="31"/>
      <c r="C260" s="31"/>
      <c r="D260" s="30"/>
      <c r="E260" s="30"/>
      <c r="F260" s="30"/>
      <c r="G260" s="30"/>
      <c r="H260" s="19" t="str">
        <f t="shared" si="8"/>
        <v/>
      </c>
      <c r="I260" s="28">
        <f t="shared" si="9"/>
        <v>0</v>
      </c>
      <c r="J260" s="31"/>
    </row>
    <row r="261" spans="1:10" x14ac:dyDescent="0.25">
      <c r="A261" s="32"/>
      <c r="B261" s="33"/>
      <c r="C261" s="33"/>
      <c r="D261" s="32"/>
      <c r="E261" s="32"/>
      <c r="F261" s="32"/>
      <c r="G261" s="32"/>
      <c r="H261" s="34" t="str">
        <f t="shared" si="8"/>
        <v/>
      </c>
      <c r="I261" s="35">
        <f t="shared" si="9"/>
        <v>0</v>
      </c>
      <c r="J261" s="33"/>
    </row>
    <row r="262" spans="1:10" x14ac:dyDescent="0.25">
      <c r="A262" s="30"/>
      <c r="B262" s="31"/>
      <c r="C262" s="31"/>
      <c r="D262" s="30"/>
      <c r="E262" s="30"/>
      <c r="F262" s="30"/>
      <c r="G262" s="30"/>
      <c r="H262" s="19" t="str">
        <f t="shared" si="8"/>
        <v/>
      </c>
      <c r="I262" s="28">
        <f t="shared" si="9"/>
        <v>0</v>
      </c>
      <c r="J262" s="31"/>
    </row>
    <row r="263" spans="1:10" x14ac:dyDescent="0.25">
      <c r="A263" s="32"/>
      <c r="B263" s="33"/>
      <c r="C263" s="33"/>
      <c r="D263" s="32"/>
      <c r="E263" s="32"/>
      <c r="F263" s="32"/>
      <c r="G263" s="32"/>
      <c r="H263" s="34" t="str">
        <f t="shared" si="8"/>
        <v/>
      </c>
      <c r="I263" s="35">
        <f t="shared" si="9"/>
        <v>0</v>
      </c>
      <c r="J263" s="33"/>
    </row>
    <row r="264" spans="1:10" x14ac:dyDescent="0.25">
      <c r="A264" s="30"/>
      <c r="B264" s="31"/>
      <c r="C264" s="31"/>
      <c r="D264" s="30"/>
      <c r="E264" s="30"/>
      <c r="F264" s="30"/>
      <c r="G264" s="30"/>
      <c r="H264" s="19" t="str">
        <f t="shared" si="8"/>
        <v/>
      </c>
      <c r="I264" s="28">
        <f t="shared" si="9"/>
        <v>0</v>
      </c>
      <c r="J264" s="31"/>
    </row>
    <row r="265" spans="1:10" x14ac:dyDescent="0.25">
      <c r="A265" s="32"/>
      <c r="B265" s="33"/>
      <c r="C265" s="33"/>
      <c r="D265" s="32"/>
      <c r="E265" s="32"/>
      <c r="F265" s="32"/>
      <c r="G265" s="32"/>
      <c r="H265" s="34" t="str">
        <f t="shared" si="8"/>
        <v/>
      </c>
      <c r="I265" s="35">
        <f t="shared" si="9"/>
        <v>0</v>
      </c>
      <c r="J265" s="33"/>
    </row>
    <row r="266" spans="1:10" x14ac:dyDescent="0.25">
      <c r="A266" s="30"/>
      <c r="B266" s="31"/>
      <c r="C266" s="31"/>
      <c r="D266" s="30"/>
      <c r="E266" s="30"/>
      <c r="F266" s="30"/>
      <c r="G266" s="30"/>
      <c r="H266" s="19" t="str">
        <f t="shared" si="8"/>
        <v/>
      </c>
      <c r="I266" s="28">
        <f t="shared" si="9"/>
        <v>0</v>
      </c>
      <c r="J266" s="31"/>
    </row>
    <row r="267" spans="1:10" x14ac:dyDescent="0.25">
      <c r="A267" s="32"/>
      <c r="B267" s="33"/>
      <c r="C267" s="33"/>
      <c r="D267" s="32"/>
      <c r="E267" s="32"/>
      <c r="F267" s="32"/>
      <c r="G267" s="32"/>
      <c r="H267" s="34" t="str">
        <f t="shared" si="8"/>
        <v/>
      </c>
      <c r="I267" s="35">
        <f t="shared" si="9"/>
        <v>0</v>
      </c>
      <c r="J267" s="33"/>
    </row>
    <row r="268" spans="1:10" x14ac:dyDescent="0.25">
      <c r="A268" s="30"/>
      <c r="B268" s="31"/>
      <c r="C268" s="31"/>
      <c r="D268" s="30"/>
      <c r="E268" s="30"/>
      <c r="F268" s="30"/>
      <c r="G268" s="30"/>
      <c r="H268" s="19" t="str">
        <f t="shared" si="8"/>
        <v/>
      </c>
      <c r="I268" s="28">
        <f t="shared" si="9"/>
        <v>0</v>
      </c>
      <c r="J268" s="31"/>
    </row>
    <row r="269" spans="1:10" x14ac:dyDescent="0.25">
      <c r="A269" s="32"/>
      <c r="B269" s="33"/>
      <c r="C269" s="33"/>
      <c r="D269" s="32"/>
      <c r="E269" s="32"/>
      <c r="F269" s="32"/>
      <c r="G269" s="32"/>
      <c r="H269" s="34" t="str">
        <f t="shared" si="8"/>
        <v/>
      </c>
      <c r="I269" s="35">
        <f t="shared" si="9"/>
        <v>0</v>
      </c>
      <c r="J269" s="33"/>
    </row>
    <row r="270" spans="1:10" x14ac:dyDescent="0.25">
      <c r="A270" s="30"/>
      <c r="B270" s="31"/>
      <c r="C270" s="31"/>
      <c r="D270" s="30"/>
      <c r="E270" s="30"/>
      <c r="F270" s="30"/>
      <c r="G270" s="30"/>
      <c r="H270" s="19" t="str">
        <f t="shared" si="8"/>
        <v/>
      </c>
      <c r="I270" s="28">
        <f t="shared" si="9"/>
        <v>0</v>
      </c>
      <c r="J270" s="31"/>
    </row>
    <row r="271" spans="1:10" x14ac:dyDescent="0.25">
      <c r="A271" s="32"/>
      <c r="B271" s="33"/>
      <c r="C271" s="33"/>
      <c r="D271" s="32"/>
      <c r="E271" s="32"/>
      <c r="F271" s="32"/>
      <c r="G271" s="32"/>
      <c r="H271" s="34" t="str">
        <f t="shared" si="8"/>
        <v/>
      </c>
      <c r="I271" s="35">
        <f t="shared" si="9"/>
        <v>0</v>
      </c>
      <c r="J271" s="33"/>
    </row>
    <row r="272" spans="1:10" x14ac:dyDescent="0.25">
      <c r="A272" s="30"/>
      <c r="B272" s="31"/>
      <c r="C272" s="31"/>
      <c r="D272" s="30"/>
      <c r="E272" s="30"/>
      <c r="F272" s="30"/>
      <c r="G272" s="30"/>
      <c r="H272" s="19" t="str">
        <f t="shared" si="8"/>
        <v/>
      </c>
      <c r="I272" s="28">
        <f t="shared" si="9"/>
        <v>0</v>
      </c>
      <c r="J272" s="31"/>
    </row>
    <row r="273" spans="1:10" x14ac:dyDescent="0.25">
      <c r="A273" s="32"/>
      <c r="B273" s="33"/>
      <c r="C273" s="33"/>
      <c r="D273" s="32"/>
      <c r="E273" s="32"/>
      <c r="F273" s="32"/>
      <c r="G273" s="32"/>
      <c r="H273" s="34" t="str">
        <f t="shared" si="8"/>
        <v/>
      </c>
      <c r="I273" s="35">
        <f t="shared" si="9"/>
        <v>0</v>
      </c>
      <c r="J273" s="33"/>
    </row>
    <row r="274" spans="1:10" x14ac:dyDescent="0.25">
      <c r="A274" s="30"/>
      <c r="B274" s="31"/>
      <c r="C274" s="31"/>
      <c r="D274" s="30"/>
      <c r="E274" s="30"/>
      <c r="F274" s="30"/>
      <c r="G274" s="30"/>
      <c r="H274" s="19" t="str">
        <f t="shared" si="8"/>
        <v/>
      </c>
      <c r="I274" s="28">
        <f t="shared" si="9"/>
        <v>0</v>
      </c>
      <c r="J274" s="31"/>
    </row>
    <row r="275" spans="1:10" x14ac:dyDescent="0.25">
      <c r="A275" s="32"/>
      <c r="B275" s="33"/>
      <c r="C275" s="33"/>
      <c r="D275" s="32"/>
      <c r="E275" s="32"/>
      <c r="F275" s="32"/>
      <c r="G275" s="32"/>
      <c r="H275" s="34" t="str">
        <f t="shared" si="8"/>
        <v/>
      </c>
      <c r="I275" s="35">
        <f t="shared" si="9"/>
        <v>0</v>
      </c>
      <c r="J275" s="33"/>
    </row>
    <row r="276" spans="1:10" x14ac:dyDescent="0.25">
      <c r="A276" s="30"/>
      <c r="B276" s="31"/>
      <c r="C276" s="31"/>
      <c r="D276" s="30"/>
      <c r="E276" s="30"/>
      <c r="F276" s="30"/>
      <c r="G276" s="30"/>
      <c r="H276" s="19" t="str">
        <f t="shared" si="8"/>
        <v/>
      </c>
      <c r="I276" s="28">
        <f t="shared" si="9"/>
        <v>0</v>
      </c>
      <c r="J276" s="31"/>
    </row>
    <row r="277" spans="1:10" x14ac:dyDescent="0.25">
      <c r="A277" s="32"/>
      <c r="B277" s="33"/>
      <c r="C277" s="33"/>
      <c r="D277" s="32"/>
      <c r="E277" s="32"/>
      <c r="F277" s="32"/>
      <c r="G277" s="32"/>
      <c r="H277" s="34" t="str">
        <f t="shared" si="8"/>
        <v/>
      </c>
      <c r="I277" s="35">
        <f t="shared" si="9"/>
        <v>0</v>
      </c>
      <c r="J277" s="33"/>
    </row>
    <row r="278" spans="1:10" x14ac:dyDescent="0.25">
      <c r="A278" s="30"/>
      <c r="B278" s="31"/>
      <c r="C278" s="31"/>
      <c r="D278" s="30"/>
      <c r="E278" s="30"/>
      <c r="F278" s="30"/>
      <c r="G278" s="30"/>
      <c r="H278" s="19" t="str">
        <f t="shared" si="8"/>
        <v/>
      </c>
      <c r="I278" s="28">
        <f t="shared" si="9"/>
        <v>0</v>
      </c>
      <c r="J278" s="31"/>
    </row>
    <row r="279" spans="1:10" x14ac:dyDescent="0.25">
      <c r="A279" s="32"/>
      <c r="B279" s="33"/>
      <c r="C279" s="33"/>
      <c r="D279" s="32"/>
      <c r="E279" s="32"/>
      <c r="F279" s="32"/>
      <c r="G279" s="32"/>
      <c r="H279" s="34" t="str">
        <f t="shared" si="8"/>
        <v/>
      </c>
      <c r="I279" s="35">
        <f t="shared" si="9"/>
        <v>0</v>
      </c>
      <c r="J279" s="33"/>
    </row>
    <row r="280" spans="1:10" x14ac:dyDescent="0.25">
      <c r="A280" s="30"/>
      <c r="B280" s="31"/>
      <c r="C280" s="31"/>
      <c r="D280" s="30"/>
      <c r="E280" s="30"/>
      <c r="F280" s="30"/>
      <c r="G280" s="30"/>
      <c r="H280" s="19" t="str">
        <f t="shared" si="8"/>
        <v/>
      </c>
      <c r="I280" s="28">
        <f t="shared" si="9"/>
        <v>0</v>
      </c>
      <c r="J280" s="31"/>
    </row>
    <row r="281" spans="1:10" x14ac:dyDescent="0.25">
      <c r="A281" s="32"/>
      <c r="B281" s="33"/>
      <c r="C281" s="33"/>
      <c r="D281" s="32"/>
      <c r="E281" s="32"/>
      <c r="F281" s="32"/>
      <c r="G281" s="32"/>
      <c r="H281" s="34" t="str">
        <f t="shared" si="8"/>
        <v/>
      </c>
      <c r="I281" s="35">
        <f t="shared" si="9"/>
        <v>0</v>
      </c>
      <c r="J281" s="33"/>
    </row>
    <row r="282" spans="1:10" x14ac:dyDescent="0.25">
      <c r="A282" s="30"/>
      <c r="B282" s="31"/>
      <c r="C282" s="31"/>
      <c r="D282" s="30"/>
      <c r="E282" s="30"/>
      <c r="F282" s="30"/>
      <c r="G282" s="30"/>
      <c r="H282" s="19" t="str">
        <f t="shared" si="8"/>
        <v/>
      </c>
      <c r="I282" s="28">
        <f t="shared" si="9"/>
        <v>0</v>
      </c>
      <c r="J282" s="31"/>
    </row>
    <row r="283" spans="1:10" x14ac:dyDescent="0.25">
      <c r="A283" s="32"/>
      <c r="B283" s="33"/>
      <c r="C283" s="33"/>
      <c r="D283" s="32"/>
      <c r="E283" s="32"/>
      <c r="F283" s="32"/>
      <c r="G283" s="32"/>
      <c r="H283" s="34" t="str">
        <f t="shared" si="8"/>
        <v/>
      </c>
      <c r="I283" s="35">
        <f t="shared" si="9"/>
        <v>0</v>
      </c>
      <c r="J283" s="33"/>
    </row>
    <row r="284" spans="1:10" x14ac:dyDescent="0.25">
      <c r="A284" s="30"/>
      <c r="B284" s="31"/>
      <c r="C284" s="31"/>
      <c r="D284" s="30"/>
      <c r="E284" s="30"/>
      <c r="F284" s="30"/>
      <c r="G284" s="30"/>
      <c r="H284" s="19" t="str">
        <f t="shared" si="8"/>
        <v/>
      </c>
      <c r="I284" s="28">
        <f t="shared" si="9"/>
        <v>0</v>
      </c>
      <c r="J284" s="31"/>
    </row>
    <row r="285" spans="1:10" x14ac:dyDescent="0.25">
      <c r="A285" s="32"/>
      <c r="B285" s="33"/>
      <c r="C285" s="33"/>
      <c r="D285" s="32"/>
      <c r="E285" s="32"/>
      <c r="F285" s="32"/>
      <c r="G285" s="32"/>
      <c r="H285" s="34" t="str">
        <f t="shared" si="8"/>
        <v/>
      </c>
      <c r="I285" s="35">
        <f t="shared" si="9"/>
        <v>0</v>
      </c>
      <c r="J285" s="33"/>
    </row>
    <row r="286" spans="1:10" x14ac:dyDescent="0.25">
      <c r="A286" s="30"/>
      <c r="B286" s="31"/>
      <c r="C286" s="31"/>
      <c r="D286" s="30"/>
      <c r="E286" s="30"/>
      <c r="F286" s="30"/>
      <c r="G286" s="30"/>
      <c r="H286" s="19" t="str">
        <f t="shared" si="8"/>
        <v/>
      </c>
      <c r="I286" s="28">
        <f t="shared" si="9"/>
        <v>0</v>
      </c>
      <c r="J286" s="31"/>
    </row>
    <row r="287" spans="1:10" x14ac:dyDescent="0.25">
      <c r="A287" s="32"/>
      <c r="B287" s="33"/>
      <c r="C287" s="33"/>
      <c r="D287" s="32"/>
      <c r="E287" s="32"/>
      <c r="F287" s="32"/>
      <c r="G287" s="32"/>
      <c r="H287" s="34" t="str">
        <f t="shared" si="8"/>
        <v/>
      </c>
      <c r="I287" s="35">
        <f t="shared" si="9"/>
        <v>0</v>
      </c>
      <c r="J287" s="33"/>
    </row>
    <row r="288" spans="1:10" x14ac:dyDescent="0.25">
      <c r="A288" s="30"/>
      <c r="B288" s="31"/>
      <c r="C288" s="31"/>
      <c r="D288" s="30"/>
      <c r="E288" s="30"/>
      <c r="F288" s="30"/>
      <c r="G288" s="30"/>
      <c r="H288" s="19" t="str">
        <f t="shared" si="8"/>
        <v/>
      </c>
      <c r="I288" s="28">
        <f t="shared" si="9"/>
        <v>0</v>
      </c>
      <c r="J288" s="31"/>
    </row>
    <row r="289" spans="1:10" x14ac:dyDescent="0.25">
      <c r="A289" s="32"/>
      <c r="B289" s="33"/>
      <c r="C289" s="33"/>
      <c r="D289" s="32"/>
      <c r="E289" s="32"/>
      <c r="F289" s="32"/>
      <c r="G289" s="32"/>
      <c r="H289" s="34" t="str">
        <f t="shared" si="8"/>
        <v/>
      </c>
      <c r="I289" s="35">
        <f t="shared" si="9"/>
        <v>0</v>
      </c>
      <c r="J289" s="33"/>
    </row>
    <row r="290" spans="1:10" x14ac:dyDescent="0.25">
      <c r="A290" s="30"/>
      <c r="B290" s="31"/>
      <c r="C290" s="31"/>
      <c r="D290" s="30"/>
      <c r="E290" s="30"/>
      <c r="F290" s="30"/>
      <c r="G290" s="30"/>
      <c r="H290" s="19" t="str">
        <f t="shared" si="8"/>
        <v/>
      </c>
      <c r="I290" s="28">
        <f t="shared" si="9"/>
        <v>0</v>
      </c>
      <c r="J290" s="31"/>
    </row>
    <row r="291" spans="1:10" x14ac:dyDescent="0.25">
      <c r="A291" s="32"/>
      <c r="B291" s="33"/>
      <c r="C291" s="33"/>
      <c r="D291" s="32"/>
      <c r="E291" s="32"/>
      <c r="F291" s="32"/>
      <c r="G291" s="32"/>
      <c r="H291" s="34" t="str">
        <f t="shared" si="8"/>
        <v/>
      </c>
      <c r="I291" s="35">
        <f t="shared" si="9"/>
        <v>0</v>
      </c>
      <c r="J291" s="33"/>
    </row>
    <row r="292" spans="1:10" x14ac:dyDescent="0.25">
      <c r="A292" s="30"/>
      <c r="B292" s="31"/>
      <c r="C292" s="31"/>
      <c r="D292" s="30"/>
      <c r="E292" s="30"/>
      <c r="F292" s="30"/>
      <c r="G292" s="30"/>
      <c r="H292" s="19" t="str">
        <f t="shared" si="8"/>
        <v/>
      </c>
      <c r="I292" s="28">
        <f t="shared" si="9"/>
        <v>0</v>
      </c>
      <c r="J292" s="31"/>
    </row>
    <row r="293" spans="1:10" x14ac:dyDescent="0.25">
      <c r="A293" s="32"/>
      <c r="B293" s="33"/>
      <c r="C293" s="33"/>
      <c r="D293" s="32"/>
      <c r="E293" s="32"/>
      <c r="F293" s="32"/>
      <c r="G293" s="32"/>
      <c r="H293" s="34" t="str">
        <f t="shared" si="8"/>
        <v/>
      </c>
      <c r="I293" s="35">
        <f t="shared" si="9"/>
        <v>0</v>
      </c>
      <c r="J293" s="33"/>
    </row>
    <row r="294" spans="1:10" x14ac:dyDescent="0.25">
      <c r="A294" s="30"/>
      <c r="B294" s="31"/>
      <c r="C294" s="31"/>
      <c r="D294" s="30"/>
      <c r="E294" s="30"/>
      <c r="F294" s="30"/>
      <c r="G294" s="30"/>
      <c r="H294" s="19" t="str">
        <f t="shared" si="8"/>
        <v/>
      </c>
      <c r="I294" s="28">
        <f t="shared" si="9"/>
        <v>0</v>
      </c>
      <c r="J294" s="31"/>
    </row>
    <row r="295" spans="1:10" x14ac:dyDescent="0.25">
      <c r="A295" s="32"/>
      <c r="B295" s="33"/>
      <c r="C295" s="33"/>
      <c r="D295" s="32"/>
      <c r="E295" s="32"/>
      <c r="F295" s="32"/>
      <c r="G295" s="32"/>
      <c r="H295" s="34" t="str">
        <f t="shared" si="8"/>
        <v/>
      </c>
      <c r="I295" s="35">
        <f t="shared" si="9"/>
        <v>0</v>
      </c>
      <c r="J295" s="33"/>
    </row>
    <row r="296" spans="1:10" x14ac:dyDescent="0.25">
      <c r="A296" s="30"/>
      <c r="B296" s="31"/>
      <c r="C296" s="31"/>
      <c r="D296" s="30"/>
      <c r="E296" s="30"/>
      <c r="F296" s="30"/>
      <c r="G296" s="30"/>
      <c r="H296" s="19" t="str">
        <f t="shared" si="8"/>
        <v/>
      </c>
      <c r="I296" s="28">
        <f t="shared" si="9"/>
        <v>0</v>
      </c>
      <c r="J296" s="31"/>
    </row>
    <row r="297" spans="1:10" x14ac:dyDescent="0.25">
      <c r="A297" s="32"/>
      <c r="B297" s="33"/>
      <c r="C297" s="33"/>
      <c r="D297" s="32"/>
      <c r="E297" s="32"/>
      <c r="F297" s="32"/>
      <c r="G297" s="32"/>
      <c r="H297" s="34" t="str">
        <f t="shared" si="8"/>
        <v/>
      </c>
      <c r="I297" s="35">
        <f t="shared" si="9"/>
        <v>0</v>
      </c>
      <c r="J297" s="33"/>
    </row>
    <row r="298" spans="1:10" x14ac:dyDescent="0.25">
      <c r="A298" s="30"/>
      <c r="B298" s="31"/>
      <c r="C298" s="31"/>
      <c r="D298" s="30"/>
      <c r="E298" s="30"/>
      <c r="F298" s="30"/>
      <c r="G298" s="30"/>
      <c r="H298" s="19" t="str">
        <f t="shared" si="8"/>
        <v/>
      </c>
      <c r="I298" s="28">
        <f t="shared" si="9"/>
        <v>0</v>
      </c>
      <c r="J298" s="31"/>
    </row>
    <row r="299" spans="1:10" x14ac:dyDescent="0.25">
      <c r="A299" s="32"/>
      <c r="B299" s="33"/>
      <c r="C299" s="33"/>
      <c r="D299" s="32"/>
      <c r="E299" s="32"/>
      <c r="F299" s="32"/>
      <c r="G299" s="32"/>
      <c r="H299" s="34" t="str">
        <f t="shared" si="8"/>
        <v/>
      </c>
      <c r="I299" s="35">
        <f t="shared" si="9"/>
        <v>0</v>
      </c>
      <c r="J299" s="33"/>
    </row>
    <row r="300" spans="1:10" x14ac:dyDescent="0.25">
      <c r="A300" s="30"/>
      <c r="B300" s="31"/>
      <c r="C300" s="31"/>
      <c r="D300" s="30"/>
      <c r="E300" s="30"/>
      <c r="F300" s="30"/>
      <c r="G300" s="30"/>
      <c r="H300" s="19" t="str">
        <f t="shared" si="8"/>
        <v/>
      </c>
      <c r="I300" s="28">
        <f t="shared" si="9"/>
        <v>0</v>
      </c>
      <c r="J300" s="31"/>
    </row>
    <row r="301" spans="1:10" x14ac:dyDescent="0.25">
      <c r="A301" s="32"/>
      <c r="B301" s="33"/>
      <c r="C301" s="33"/>
      <c r="D301" s="32"/>
      <c r="E301" s="32"/>
      <c r="F301" s="32"/>
      <c r="G301" s="32"/>
      <c r="H301" s="34" t="str">
        <f t="shared" si="8"/>
        <v/>
      </c>
      <c r="I301" s="35">
        <f t="shared" si="9"/>
        <v>0</v>
      </c>
      <c r="J301" s="33"/>
    </row>
    <row r="302" spans="1:10" x14ac:dyDescent="0.25">
      <c r="A302" s="30"/>
      <c r="B302" s="31"/>
      <c r="C302" s="31"/>
      <c r="D302" s="30"/>
      <c r="E302" s="30"/>
      <c r="F302" s="30"/>
      <c r="G302" s="30"/>
      <c r="H302" s="19" t="str">
        <f t="shared" si="8"/>
        <v/>
      </c>
      <c r="I302" s="28">
        <f t="shared" si="9"/>
        <v>0</v>
      </c>
      <c r="J302" s="31"/>
    </row>
    <row r="303" spans="1:10" x14ac:dyDescent="0.25">
      <c r="A303" s="32"/>
      <c r="B303" s="33"/>
      <c r="C303" s="33"/>
      <c r="D303" s="32"/>
      <c r="E303" s="32"/>
      <c r="F303" s="32"/>
      <c r="G303" s="32"/>
      <c r="H303" s="34" t="str">
        <f t="shared" si="8"/>
        <v/>
      </c>
      <c r="I303" s="35">
        <f t="shared" si="9"/>
        <v>0</v>
      </c>
      <c r="J303" s="33"/>
    </row>
    <row r="304" spans="1:10" x14ac:dyDescent="0.25">
      <c r="A304" s="30"/>
      <c r="B304" s="31"/>
      <c r="C304" s="31"/>
      <c r="D304" s="30"/>
      <c r="E304" s="30"/>
      <c r="F304" s="30"/>
      <c r="G304" s="30"/>
      <c r="H304" s="19" t="str">
        <f t="shared" si="8"/>
        <v/>
      </c>
      <c r="I304" s="28">
        <f t="shared" si="9"/>
        <v>0</v>
      </c>
      <c r="J304" s="31"/>
    </row>
    <row r="305" spans="1:10" x14ac:dyDescent="0.25">
      <c r="A305" s="32"/>
      <c r="B305" s="33"/>
      <c r="C305" s="33"/>
      <c r="D305" s="32"/>
      <c r="E305" s="32"/>
      <c r="F305" s="32"/>
      <c r="G305" s="32"/>
      <c r="H305" s="34" t="str">
        <f t="shared" si="8"/>
        <v/>
      </c>
      <c r="I305" s="35">
        <f t="shared" si="9"/>
        <v>0</v>
      </c>
      <c r="J305" s="33"/>
    </row>
    <row r="306" spans="1:10" x14ac:dyDescent="0.25">
      <c r="A306" s="30"/>
      <c r="B306" s="31"/>
      <c r="C306" s="31"/>
      <c r="D306" s="30"/>
      <c r="E306" s="30"/>
      <c r="F306" s="30"/>
      <c r="G306" s="30"/>
      <c r="H306" s="19" t="str">
        <f t="shared" si="8"/>
        <v/>
      </c>
      <c r="I306" s="28">
        <f t="shared" si="9"/>
        <v>0</v>
      </c>
      <c r="J306" s="31"/>
    </row>
    <row r="307" spans="1:10" x14ac:dyDescent="0.25">
      <c r="A307" s="32"/>
      <c r="B307" s="33"/>
      <c r="C307" s="33"/>
      <c r="D307" s="32"/>
      <c r="E307" s="32"/>
      <c r="F307" s="32"/>
      <c r="G307" s="32"/>
      <c r="H307" s="34" t="str">
        <f t="shared" si="8"/>
        <v/>
      </c>
      <c r="I307" s="35">
        <f t="shared" si="9"/>
        <v>0</v>
      </c>
      <c r="J307" s="33"/>
    </row>
    <row r="308" spans="1:10" x14ac:dyDescent="0.25">
      <c r="A308" s="30"/>
      <c r="B308" s="31"/>
      <c r="C308" s="31"/>
      <c r="D308" s="30"/>
      <c r="E308" s="30"/>
      <c r="F308" s="30"/>
      <c r="G308" s="30"/>
      <c r="H308" s="19" t="str">
        <f t="shared" si="8"/>
        <v/>
      </c>
      <c r="I308" s="28">
        <f t="shared" si="9"/>
        <v>0</v>
      </c>
      <c r="J308" s="31"/>
    </row>
    <row r="309" spans="1:10" x14ac:dyDescent="0.25">
      <c r="A309" s="32"/>
      <c r="B309" s="33"/>
      <c r="C309" s="33"/>
      <c r="D309" s="32"/>
      <c r="E309" s="32"/>
      <c r="F309" s="32"/>
      <c r="G309" s="32"/>
      <c r="H309" s="34" t="str">
        <f t="shared" si="8"/>
        <v/>
      </c>
      <c r="I309" s="35">
        <f t="shared" si="9"/>
        <v>0</v>
      </c>
      <c r="J309" s="33"/>
    </row>
    <row r="310" spans="1:10" x14ac:dyDescent="0.25">
      <c r="A310" s="30"/>
      <c r="B310" s="31"/>
      <c r="C310" s="31"/>
      <c r="D310" s="30"/>
      <c r="E310" s="30"/>
      <c r="F310" s="30"/>
      <c r="G310" s="30"/>
      <c r="H310" s="19" t="str">
        <f t="shared" si="8"/>
        <v/>
      </c>
      <c r="I310" s="28">
        <f t="shared" si="9"/>
        <v>0</v>
      </c>
      <c r="J310" s="31"/>
    </row>
    <row r="311" spans="1:10" x14ac:dyDescent="0.25">
      <c r="A311" s="32"/>
      <c r="B311" s="33"/>
      <c r="C311" s="33"/>
      <c r="D311" s="32"/>
      <c r="E311" s="32"/>
      <c r="F311" s="32"/>
      <c r="G311" s="32"/>
      <c r="H311" s="34" t="str">
        <f t="shared" si="8"/>
        <v/>
      </c>
      <c r="I311" s="35">
        <f t="shared" si="9"/>
        <v>0</v>
      </c>
      <c r="J311" s="33"/>
    </row>
    <row r="312" spans="1:10" x14ac:dyDescent="0.25">
      <c r="A312" s="30"/>
      <c r="B312" s="31"/>
      <c r="C312" s="31"/>
      <c r="D312" s="30"/>
      <c r="E312" s="30"/>
      <c r="F312" s="30"/>
      <c r="G312" s="30"/>
      <c r="H312" s="19" t="str">
        <f t="shared" si="8"/>
        <v/>
      </c>
      <c r="I312" s="28">
        <f t="shared" si="9"/>
        <v>0</v>
      </c>
      <c r="J312" s="31"/>
    </row>
    <row r="313" spans="1:10" x14ac:dyDescent="0.25">
      <c r="A313" s="32"/>
      <c r="B313" s="33"/>
      <c r="C313" s="33"/>
      <c r="D313" s="32"/>
      <c r="E313" s="32"/>
      <c r="F313" s="32"/>
      <c r="G313" s="32"/>
      <c r="H313" s="34" t="str">
        <f t="shared" si="8"/>
        <v/>
      </c>
      <c r="I313" s="35">
        <f t="shared" si="9"/>
        <v>0</v>
      </c>
      <c r="J313" s="33"/>
    </row>
    <row r="314" spans="1:10" x14ac:dyDescent="0.25">
      <c r="A314" s="30"/>
      <c r="B314" s="31"/>
      <c r="C314" s="31"/>
      <c r="D314" s="30"/>
      <c r="E314" s="30"/>
      <c r="F314" s="30"/>
      <c r="G314" s="30"/>
      <c r="H314" s="19" t="str">
        <f t="shared" si="8"/>
        <v/>
      </c>
      <c r="I314" s="28">
        <f t="shared" si="9"/>
        <v>0</v>
      </c>
      <c r="J314" s="31"/>
    </row>
    <row r="315" spans="1:10" x14ac:dyDescent="0.25">
      <c r="A315" s="32"/>
      <c r="B315" s="33"/>
      <c r="C315" s="33"/>
      <c r="D315" s="32"/>
      <c r="E315" s="32"/>
      <c r="F315" s="32"/>
      <c r="G315" s="32"/>
      <c r="H315" s="34" t="str">
        <f t="shared" si="8"/>
        <v/>
      </c>
      <c r="I315" s="35">
        <f t="shared" si="9"/>
        <v>0</v>
      </c>
      <c r="J315" s="33"/>
    </row>
    <row r="316" spans="1:10" x14ac:dyDescent="0.25">
      <c r="A316" s="30"/>
      <c r="B316" s="31"/>
      <c r="C316" s="31"/>
      <c r="D316" s="30"/>
      <c r="E316" s="30"/>
      <c r="F316" s="30"/>
      <c r="G316" s="30"/>
      <c r="H316" s="19" t="str">
        <f t="shared" si="8"/>
        <v/>
      </c>
      <c r="I316" s="28">
        <f t="shared" si="9"/>
        <v>0</v>
      </c>
      <c r="J316" s="31"/>
    </row>
    <row r="317" spans="1:10" x14ac:dyDescent="0.25">
      <c r="A317" s="32"/>
      <c r="B317" s="33"/>
      <c r="C317" s="33"/>
      <c r="D317" s="32"/>
      <c r="E317" s="32"/>
      <c r="F317" s="32"/>
      <c r="G317" s="32"/>
      <c r="H317" s="34" t="str">
        <f t="shared" si="8"/>
        <v/>
      </c>
      <c r="I317" s="35">
        <f t="shared" si="9"/>
        <v>0</v>
      </c>
      <c r="J317" s="33"/>
    </row>
    <row r="318" spans="1:10" x14ac:dyDescent="0.25">
      <c r="A318" s="30"/>
      <c r="B318" s="31"/>
      <c r="C318" s="31"/>
      <c r="D318" s="30"/>
      <c r="E318" s="30"/>
      <c r="F318" s="30"/>
      <c r="G318" s="30"/>
      <c r="H318" s="19" t="str">
        <f t="shared" si="8"/>
        <v/>
      </c>
      <c r="I318" s="28">
        <f t="shared" si="9"/>
        <v>0</v>
      </c>
      <c r="J318" s="31"/>
    </row>
    <row r="319" spans="1:10" x14ac:dyDescent="0.25">
      <c r="A319" s="32"/>
      <c r="B319" s="33"/>
      <c r="C319" s="33"/>
      <c r="D319" s="32"/>
      <c r="E319" s="32"/>
      <c r="F319" s="32"/>
      <c r="G319" s="32"/>
      <c r="H319" s="34" t="str">
        <f t="shared" si="8"/>
        <v/>
      </c>
      <c r="I319" s="35">
        <f t="shared" si="9"/>
        <v>0</v>
      </c>
      <c r="J319" s="33"/>
    </row>
    <row r="320" spans="1:10" x14ac:dyDescent="0.25">
      <c r="A320" s="30"/>
      <c r="B320" s="31"/>
      <c r="C320" s="31"/>
      <c r="D320" s="30"/>
      <c r="E320" s="30"/>
      <c r="F320" s="30"/>
      <c r="G320" s="30"/>
      <c r="H320" s="19" t="str">
        <f t="shared" si="8"/>
        <v/>
      </c>
      <c r="I320" s="28">
        <f t="shared" si="9"/>
        <v>0</v>
      </c>
      <c r="J320" s="31"/>
    </row>
    <row r="321" spans="1:10" x14ac:dyDescent="0.25">
      <c r="A321" s="32"/>
      <c r="B321" s="33"/>
      <c r="C321" s="33"/>
      <c r="D321" s="32"/>
      <c r="E321" s="32"/>
      <c r="F321" s="32"/>
      <c r="G321" s="32"/>
      <c r="H321" s="34" t="str">
        <f t="shared" si="8"/>
        <v/>
      </c>
      <c r="I321" s="35">
        <f t="shared" si="9"/>
        <v>0</v>
      </c>
      <c r="J321" s="33"/>
    </row>
    <row r="322" spans="1:10" x14ac:dyDescent="0.25">
      <c r="A322" s="30"/>
      <c r="B322" s="31"/>
      <c r="C322" s="31"/>
      <c r="D322" s="30"/>
      <c r="E322" s="30"/>
      <c r="F322" s="30"/>
      <c r="G322" s="30"/>
      <c r="H322" s="19" t="str">
        <f t="shared" ref="H322:H385" si="10">IF(F322&gt;0, F322-G322, "")</f>
        <v/>
      </c>
      <c r="I322" s="28">
        <f t="shared" ref="I322:I385" si="11">IF(F322&gt;0, G322/F322, 0)</f>
        <v>0</v>
      </c>
      <c r="J322" s="31"/>
    </row>
    <row r="323" spans="1:10" x14ac:dyDescent="0.25">
      <c r="A323" s="32"/>
      <c r="B323" s="33"/>
      <c r="C323" s="33"/>
      <c r="D323" s="32"/>
      <c r="E323" s="32"/>
      <c r="F323" s="32"/>
      <c r="G323" s="32"/>
      <c r="H323" s="34" t="str">
        <f t="shared" si="10"/>
        <v/>
      </c>
      <c r="I323" s="35">
        <f t="shared" si="11"/>
        <v>0</v>
      </c>
      <c r="J323" s="33"/>
    </row>
    <row r="324" spans="1:10" x14ac:dyDescent="0.25">
      <c r="A324" s="30"/>
      <c r="B324" s="31"/>
      <c r="C324" s="31"/>
      <c r="D324" s="30"/>
      <c r="E324" s="30"/>
      <c r="F324" s="30"/>
      <c r="G324" s="30"/>
      <c r="H324" s="19" t="str">
        <f t="shared" si="10"/>
        <v/>
      </c>
      <c r="I324" s="28">
        <f t="shared" si="11"/>
        <v>0</v>
      </c>
      <c r="J324" s="31"/>
    </row>
    <row r="325" spans="1:10" x14ac:dyDescent="0.25">
      <c r="A325" s="32"/>
      <c r="B325" s="33"/>
      <c r="C325" s="33"/>
      <c r="D325" s="32"/>
      <c r="E325" s="32"/>
      <c r="F325" s="32"/>
      <c r="G325" s="32"/>
      <c r="H325" s="34" t="str">
        <f t="shared" si="10"/>
        <v/>
      </c>
      <c r="I325" s="35">
        <f t="shared" si="11"/>
        <v>0</v>
      </c>
      <c r="J325" s="33"/>
    </row>
    <row r="326" spans="1:10" x14ac:dyDescent="0.25">
      <c r="A326" s="30"/>
      <c r="B326" s="31"/>
      <c r="C326" s="31"/>
      <c r="D326" s="30"/>
      <c r="E326" s="30"/>
      <c r="F326" s="30"/>
      <c r="G326" s="30"/>
      <c r="H326" s="19" t="str">
        <f t="shared" si="10"/>
        <v/>
      </c>
      <c r="I326" s="28">
        <f t="shared" si="11"/>
        <v>0</v>
      </c>
      <c r="J326" s="31"/>
    </row>
    <row r="327" spans="1:10" x14ac:dyDescent="0.25">
      <c r="A327" s="32"/>
      <c r="B327" s="33"/>
      <c r="C327" s="33"/>
      <c r="D327" s="32"/>
      <c r="E327" s="32"/>
      <c r="F327" s="32"/>
      <c r="G327" s="32"/>
      <c r="H327" s="34" t="str">
        <f t="shared" si="10"/>
        <v/>
      </c>
      <c r="I327" s="35">
        <f t="shared" si="11"/>
        <v>0</v>
      </c>
      <c r="J327" s="33"/>
    </row>
    <row r="328" spans="1:10" x14ac:dyDescent="0.25">
      <c r="A328" s="30"/>
      <c r="B328" s="31"/>
      <c r="C328" s="31"/>
      <c r="D328" s="30"/>
      <c r="E328" s="30"/>
      <c r="F328" s="30"/>
      <c r="G328" s="30"/>
      <c r="H328" s="19" t="str">
        <f t="shared" si="10"/>
        <v/>
      </c>
      <c r="I328" s="28">
        <f t="shared" si="11"/>
        <v>0</v>
      </c>
      <c r="J328" s="31"/>
    </row>
    <row r="329" spans="1:10" x14ac:dyDescent="0.25">
      <c r="A329" s="32"/>
      <c r="B329" s="33"/>
      <c r="C329" s="33"/>
      <c r="D329" s="32"/>
      <c r="E329" s="32"/>
      <c r="F329" s="32"/>
      <c r="G329" s="32"/>
      <c r="H329" s="34" t="str">
        <f t="shared" si="10"/>
        <v/>
      </c>
      <c r="I329" s="35">
        <f t="shared" si="11"/>
        <v>0</v>
      </c>
      <c r="J329" s="33"/>
    </row>
    <row r="330" spans="1:10" x14ac:dyDescent="0.25">
      <c r="A330" s="30"/>
      <c r="B330" s="31"/>
      <c r="C330" s="31"/>
      <c r="D330" s="30"/>
      <c r="E330" s="30"/>
      <c r="F330" s="30"/>
      <c r="G330" s="30"/>
      <c r="H330" s="19" t="str">
        <f t="shared" si="10"/>
        <v/>
      </c>
      <c r="I330" s="28">
        <f t="shared" si="11"/>
        <v>0</v>
      </c>
      <c r="J330" s="31"/>
    </row>
    <row r="331" spans="1:10" x14ac:dyDescent="0.25">
      <c r="A331" s="32"/>
      <c r="B331" s="33"/>
      <c r="C331" s="33"/>
      <c r="D331" s="32"/>
      <c r="E331" s="32"/>
      <c r="F331" s="32"/>
      <c r="G331" s="32"/>
      <c r="H331" s="34" t="str">
        <f t="shared" si="10"/>
        <v/>
      </c>
      <c r="I331" s="35">
        <f t="shared" si="11"/>
        <v>0</v>
      </c>
      <c r="J331" s="33"/>
    </row>
    <row r="332" spans="1:10" x14ac:dyDescent="0.25">
      <c r="A332" s="30"/>
      <c r="B332" s="31"/>
      <c r="C332" s="31"/>
      <c r="D332" s="30"/>
      <c r="E332" s="30"/>
      <c r="F332" s="30"/>
      <c r="G332" s="30"/>
      <c r="H332" s="19" t="str">
        <f t="shared" si="10"/>
        <v/>
      </c>
      <c r="I332" s="28">
        <f t="shared" si="11"/>
        <v>0</v>
      </c>
      <c r="J332" s="31"/>
    </row>
    <row r="333" spans="1:10" x14ac:dyDescent="0.25">
      <c r="A333" s="32"/>
      <c r="B333" s="33"/>
      <c r="C333" s="33"/>
      <c r="D333" s="32"/>
      <c r="E333" s="32"/>
      <c r="F333" s="32"/>
      <c r="G333" s="32"/>
      <c r="H333" s="34" t="str">
        <f t="shared" si="10"/>
        <v/>
      </c>
      <c r="I333" s="35">
        <f t="shared" si="11"/>
        <v>0</v>
      </c>
      <c r="J333" s="33"/>
    </row>
    <row r="334" spans="1:10" x14ac:dyDescent="0.25">
      <c r="A334" s="30"/>
      <c r="B334" s="31"/>
      <c r="C334" s="31"/>
      <c r="D334" s="30"/>
      <c r="E334" s="30"/>
      <c r="F334" s="30"/>
      <c r="G334" s="30"/>
      <c r="H334" s="19" t="str">
        <f t="shared" si="10"/>
        <v/>
      </c>
      <c r="I334" s="28">
        <f t="shared" si="11"/>
        <v>0</v>
      </c>
      <c r="J334" s="31"/>
    </row>
    <row r="335" spans="1:10" x14ac:dyDescent="0.25">
      <c r="A335" s="32"/>
      <c r="B335" s="33"/>
      <c r="C335" s="33"/>
      <c r="D335" s="32"/>
      <c r="E335" s="32"/>
      <c r="F335" s="32"/>
      <c r="G335" s="32"/>
      <c r="H335" s="34" t="str">
        <f t="shared" si="10"/>
        <v/>
      </c>
      <c r="I335" s="35">
        <f t="shared" si="11"/>
        <v>0</v>
      </c>
      <c r="J335" s="33"/>
    </row>
    <row r="336" spans="1:10" x14ac:dyDescent="0.25">
      <c r="A336" s="30"/>
      <c r="B336" s="31"/>
      <c r="C336" s="31"/>
      <c r="D336" s="30"/>
      <c r="E336" s="30"/>
      <c r="F336" s="30"/>
      <c r="G336" s="30"/>
      <c r="H336" s="19" t="str">
        <f t="shared" si="10"/>
        <v/>
      </c>
      <c r="I336" s="28">
        <f t="shared" si="11"/>
        <v>0</v>
      </c>
      <c r="J336" s="31"/>
    </row>
    <row r="337" spans="1:10" x14ac:dyDescent="0.25">
      <c r="A337" s="32"/>
      <c r="B337" s="33"/>
      <c r="C337" s="33"/>
      <c r="D337" s="32"/>
      <c r="E337" s="32"/>
      <c r="F337" s="32"/>
      <c r="G337" s="32"/>
      <c r="H337" s="34" t="str">
        <f t="shared" si="10"/>
        <v/>
      </c>
      <c r="I337" s="35">
        <f t="shared" si="11"/>
        <v>0</v>
      </c>
      <c r="J337" s="33"/>
    </row>
    <row r="338" spans="1:10" x14ac:dyDescent="0.25">
      <c r="A338" s="30"/>
      <c r="B338" s="31"/>
      <c r="C338" s="31"/>
      <c r="D338" s="30"/>
      <c r="E338" s="30"/>
      <c r="F338" s="30"/>
      <c r="G338" s="30"/>
      <c r="H338" s="19" t="str">
        <f t="shared" si="10"/>
        <v/>
      </c>
      <c r="I338" s="28">
        <f t="shared" si="11"/>
        <v>0</v>
      </c>
      <c r="J338" s="31"/>
    </row>
    <row r="339" spans="1:10" x14ac:dyDescent="0.25">
      <c r="A339" s="32"/>
      <c r="B339" s="33"/>
      <c r="C339" s="33"/>
      <c r="D339" s="32"/>
      <c r="E339" s="32"/>
      <c r="F339" s="32"/>
      <c r="G339" s="32"/>
      <c r="H339" s="34" t="str">
        <f t="shared" si="10"/>
        <v/>
      </c>
      <c r="I339" s="35">
        <f t="shared" si="11"/>
        <v>0</v>
      </c>
      <c r="J339" s="33"/>
    </row>
    <row r="340" spans="1:10" x14ac:dyDescent="0.25">
      <c r="A340" s="30"/>
      <c r="B340" s="31"/>
      <c r="C340" s="31"/>
      <c r="D340" s="30"/>
      <c r="E340" s="30"/>
      <c r="F340" s="30"/>
      <c r="G340" s="30"/>
      <c r="H340" s="19" t="str">
        <f t="shared" si="10"/>
        <v/>
      </c>
      <c r="I340" s="28">
        <f t="shared" si="11"/>
        <v>0</v>
      </c>
      <c r="J340" s="31"/>
    </row>
    <row r="341" spans="1:10" x14ac:dyDescent="0.25">
      <c r="A341" s="32"/>
      <c r="B341" s="33"/>
      <c r="C341" s="33"/>
      <c r="D341" s="32"/>
      <c r="E341" s="32"/>
      <c r="F341" s="32"/>
      <c r="G341" s="32"/>
      <c r="H341" s="34" t="str">
        <f t="shared" si="10"/>
        <v/>
      </c>
      <c r="I341" s="35">
        <f t="shared" si="11"/>
        <v>0</v>
      </c>
      <c r="J341" s="33"/>
    </row>
    <row r="342" spans="1:10" x14ac:dyDescent="0.25">
      <c r="A342" s="30"/>
      <c r="B342" s="31"/>
      <c r="C342" s="31"/>
      <c r="D342" s="30"/>
      <c r="E342" s="30"/>
      <c r="F342" s="30"/>
      <c r="G342" s="30"/>
      <c r="H342" s="19" t="str">
        <f t="shared" si="10"/>
        <v/>
      </c>
      <c r="I342" s="28">
        <f t="shared" si="11"/>
        <v>0</v>
      </c>
      <c r="J342" s="31"/>
    </row>
    <row r="343" spans="1:10" x14ac:dyDescent="0.25">
      <c r="A343" s="32"/>
      <c r="B343" s="33"/>
      <c r="C343" s="33"/>
      <c r="D343" s="32"/>
      <c r="E343" s="32"/>
      <c r="F343" s="32"/>
      <c r="G343" s="32"/>
      <c r="H343" s="34" t="str">
        <f t="shared" si="10"/>
        <v/>
      </c>
      <c r="I343" s="35">
        <f t="shared" si="11"/>
        <v>0</v>
      </c>
      <c r="J343" s="33"/>
    </row>
    <row r="344" spans="1:10" x14ac:dyDescent="0.25">
      <c r="A344" s="30"/>
      <c r="B344" s="31"/>
      <c r="C344" s="31"/>
      <c r="D344" s="30"/>
      <c r="E344" s="30"/>
      <c r="F344" s="30"/>
      <c r="G344" s="30"/>
      <c r="H344" s="19" t="str">
        <f t="shared" si="10"/>
        <v/>
      </c>
      <c r="I344" s="28">
        <f t="shared" si="11"/>
        <v>0</v>
      </c>
      <c r="J344" s="31"/>
    </row>
    <row r="345" spans="1:10" x14ac:dyDescent="0.25">
      <c r="A345" s="32"/>
      <c r="B345" s="33"/>
      <c r="C345" s="33"/>
      <c r="D345" s="32"/>
      <c r="E345" s="32"/>
      <c r="F345" s="32"/>
      <c r="G345" s="32"/>
      <c r="H345" s="34" t="str">
        <f t="shared" si="10"/>
        <v/>
      </c>
      <c r="I345" s="35">
        <f t="shared" si="11"/>
        <v>0</v>
      </c>
      <c r="J345" s="33"/>
    </row>
    <row r="346" spans="1:10" x14ac:dyDescent="0.25">
      <c r="A346" s="30"/>
      <c r="B346" s="31"/>
      <c r="C346" s="31"/>
      <c r="D346" s="30"/>
      <c r="E346" s="30"/>
      <c r="F346" s="30"/>
      <c r="G346" s="30"/>
      <c r="H346" s="19" t="str">
        <f t="shared" si="10"/>
        <v/>
      </c>
      <c r="I346" s="28">
        <f t="shared" si="11"/>
        <v>0</v>
      </c>
      <c r="J346" s="31"/>
    </row>
    <row r="347" spans="1:10" x14ac:dyDescent="0.25">
      <c r="A347" s="32"/>
      <c r="B347" s="33"/>
      <c r="C347" s="33"/>
      <c r="D347" s="32"/>
      <c r="E347" s="32"/>
      <c r="F347" s="32"/>
      <c r="G347" s="32"/>
      <c r="H347" s="34" t="str">
        <f t="shared" si="10"/>
        <v/>
      </c>
      <c r="I347" s="35">
        <f t="shared" si="11"/>
        <v>0</v>
      </c>
      <c r="J347" s="33"/>
    </row>
    <row r="348" spans="1:10" x14ac:dyDescent="0.25">
      <c r="A348" s="30"/>
      <c r="B348" s="31"/>
      <c r="C348" s="31"/>
      <c r="D348" s="30"/>
      <c r="E348" s="30"/>
      <c r="F348" s="30"/>
      <c r="G348" s="30"/>
      <c r="H348" s="19" t="str">
        <f t="shared" si="10"/>
        <v/>
      </c>
      <c r="I348" s="28">
        <f t="shared" si="11"/>
        <v>0</v>
      </c>
      <c r="J348" s="31"/>
    </row>
    <row r="349" spans="1:10" x14ac:dyDescent="0.25">
      <c r="A349" s="32"/>
      <c r="B349" s="33"/>
      <c r="C349" s="33"/>
      <c r="D349" s="32"/>
      <c r="E349" s="32"/>
      <c r="F349" s="32"/>
      <c r="G349" s="32"/>
      <c r="H349" s="34" t="str">
        <f t="shared" si="10"/>
        <v/>
      </c>
      <c r="I349" s="35">
        <f t="shared" si="11"/>
        <v>0</v>
      </c>
      <c r="J349" s="33"/>
    </row>
    <row r="350" spans="1:10" x14ac:dyDescent="0.25">
      <c r="A350" s="30"/>
      <c r="B350" s="31"/>
      <c r="C350" s="31"/>
      <c r="D350" s="30"/>
      <c r="E350" s="30"/>
      <c r="F350" s="30"/>
      <c r="G350" s="30"/>
      <c r="H350" s="19" t="str">
        <f t="shared" si="10"/>
        <v/>
      </c>
      <c r="I350" s="28">
        <f t="shared" si="11"/>
        <v>0</v>
      </c>
      <c r="J350" s="31"/>
    </row>
    <row r="351" spans="1:10" x14ac:dyDescent="0.25">
      <c r="A351" s="32"/>
      <c r="B351" s="33"/>
      <c r="C351" s="33"/>
      <c r="D351" s="32"/>
      <c r="E351" s="32"/>
      <c r="F351" s="32"/>
      <c r="G351" s="32"/>
      <c r="H351" s="34" t="str">
        <f t="shared" si="10"/>
        <v/>
      </c>
      <c r="I351" s="35">
        <f t="shared" si="11"/>
        <v>0</v>
      </c>
      <c r="J351" s="33"/>
    </row>
    <row r="352" spans="1:10" x14ac:dyDescent="0.25">
      <c r="A352" s="30"/>
      <c r="B352" s="31"/>
      <c r="C352" s="31"/>
      <c r="D352" s="30"/>
      <c r="E352" s="30"/>
      <c r="F352" s="30"/>
      <c r="G352" s="30"/>
      <c r="H352" s="19" t="str">
        <f t="shared" si="10"/>
        <v/>
      </c>
      <c r="I352" s="28">
        <f t="shared" si="11"/>
        <v>0</v>
      </c>
      <c r="J352" s="31"/>
    </row>
    <row r="353" spans="1:10" x14ac:dyDescent="0.25">
      <c r="A353" s="32"/>
      <c r="B353" s="33"/>
      <c r="C353" s="33"/>
      <c r="D353" s="32"/>
      <c r="E353" s="32"/>
      <c r="F353" s="32"/>
      <c r="G353" s="32"/>
      <c r="H353" s="34" t="str">
        <f t="shared" si="10"/>
        <v/>
      </c>
      <c r="I353" s="35">
        <f t="shared" si="11"/>
        <v>0</v>
      </c>
      <c r="J353" s="33"/>
    </row>
    <row r="354" spans="1:10" x14ac:dyDescent="0.25">
      <c r="A354" s="30"/>
      <c r="B354" s="31"/>
      <c r="C354" s="31"/>
      <c r="D354" s="30"/>
      <c r="E354" s="30"/>
      <c r="F354" s="30"/>
      <c r="G354" s="30"/>
      <c r="H354" s="19" t="str">
        <f t="shared" si="10"/>
        <v/>
      </c>
      <c r="I354" s="28">
        <f t="shared" si="11"/>
        <v>0</v>
      </c>
      <c r="J354" s="31"/>
    </row>
    <row r="355" spans="1:10" x14ac:dyDescent="0.25">
      <c r="A355" s="32"/>
      <c r="B355" s="33"/>
      <c r="C355" s="33"/>
      <c r="D355" s="32"/>
      <c r="E355" s="32"/>
      <c r="F355" s="32"/>
      <c r="G355" s="32"/>
      <c r="H355" s="34" t="str">
        <f t="shared" si="10"/>
        <v/>
      </c>
      <c r="I355" s="35">
        <f t="shared" si="11"/>
        <v>0</v>
      </c>
      <c r="J355" s="33"/>
    </row>
    <row r="356" spans="1:10" x14ac:dyDescent="0.25">
      <c r="A356" s="30"/>
      <c r="B356" s="31"/>
      <c r="C356" s="31"/>
      <c r="D356" s="30"/>
      <c r="E356" s="30"/>
      <c r="F356" s="30"/>
      <c r="G356" s="30"/>
      <c r="H356" s="19" t="str">
        <f t="shared" si="10"/>
        <v/>
      </c>
      <c r="I356" s="28">
        <f t="shared" si="11"/>
        <v>0</v>
      </c>
      <c r="J356" s="31"/>
    </row>
    <row r="357" spans="1:10" x14ac:dyDescent="0.25">
      <c r="A357" s="32"/>
      <c r="B357" s="33"/>
      <c r="C357" s="33"/>
      <c r="D357" s="32"/>
      <c r="E357" s="32"/>
      <c r="F357" s="32"/>
      <c r="G357" s="32"/>
      <c r="H357" s="34" t="str">
        <f t="shared" si="10"/>
        <v/>
      </c>
      <c r="I357" s="35">
        <f t="shared" si="11"/>
        <v>0</v>
      </c>
      <c r="J357" s="33"/>
    </row>
    <row r="358" spans="1:10" x14ac:dyDescent="0.25">
      <c r="A358" s="30"/>
      <c r="B358" s="31"/>
      <c r="C358" s="31"/>
      <c r="D358" s="30"/>
      <c r="E358" s="30"/>
      <c r="F358" s="30"/>
      <c r="G358" s="30"/>
      <c r="H358" s="19" t="str">
        <f t="shared" si="10"/>
        <v/>
      </c>
      <c r="I358" s="28">
        <f t="shared" si="11"/>
        <v>0</v>
      </c>
      <c r="J358" s="31"/>
    </row>
    <row r="359" spans="1:10" x14ac:dyDescent="0.25">
      <c r="A359" s="32"/>
      <c r="B359" s="33"/>
      <c r="C359" s="33"/>
      <c r="D359" s="32"/>
      <c r="E359" s="32"/>
      <c r="F359" s="32"/>
      <c r="G359" s="32"/>
      <c r="H359" s="34" t="str">
        <f t="shared" si="10"/>
        <v/>
      </c>
      <c r="I359" s="35">
        <f t="shared" si="11"/>
        <v>0</v>
      </c>
      <c r="J359" s="33"/>
    </row>
    <row r="360" spans="1:10" x14ac:dyDescent="0.25">
      <c r="A360" s="30"/>
      <c r="B360" s="31"/>
      <c r="C360" s="31"/>
      <c r="D360" s="30"/>
      <c r="E360" s="30"/>
      <c r="F360" s="30"/>
      <c r="G360" s="30"/>
      <c r="H360" s="19" t="str">
        <f t="shared" si="10"/>
        <v/>
      </c>
      <c r="I360" s="28">
        <f t="shared" si="11"/>
        <v>0</v>
      </c>
      <c r="J360" s="31"/>
    </row>
    <row r="361" spans="1:10" x14ac:dyDescent="0.25">
      <c r="A361" s="32"/>
      <c r="B361" s="33"/>
      <c r="C361" s="33"/>
      <c r="D361" s="32"/>
      <c r="E361" s="32"/>
      <c r="F361" s="32"/>
      <c r="G361" s="32"/>
      <c r="H361" s="34" t="str">
        <f t="shared" si="10"/>
        <v/>
      </c>
      <c r="I361" s="35">
        <f t="shared" si="11"/>
        <v>0</v>
      </c>
      <c r="J361" s="33"/>
    </row>
    <row r="362" spans="1:10" x14ac:dyDescent="0.25">
      <c r="A362" s="30"/>
      <c r="B362" s="31"/>
      <c r="C362" s="31"/>
      <c r="D362" s="30"/>
      <c r="E362" s="30"/>
      <c r="F362" s="30"/>
      <c r="G362" s="30"/>
      <c r="H362" s="19" t="str">
        <f t="shared" si="10"/>
        <v/>
      </c>
      <c r="I362" s="28">
        <f t="shared" si="11"/>
        <v>0</v>
      </c>
      <c r="J362" s="31"/>
    </row>
    <row r="363" spans="1:10" x14ac:dyDescent="0.25">
      <c r="A363" s="32"/>
      <c r="B363" s="33"/>
      <c r="C363" s="33"/>
      <c r="D363" s="32"/>
      <c r="E363" s="32"/>
      <c r="F363" s="32"/>
      <c r="G363" s="32"/>
      <c r="H363" s="34" t="str">
        <f t="shared" si="10"/>
        <v/>
      </c>
      <c r="I363" s="35">
        <f t="shared" si="11"/>
        <v>0</v>
      </c>
      <c r="J363" s="33"/>
    </row>
    <row r="364" spans="1:10" x14ac:dyDescent="0.25">
      <c r="A364" s="30"/>
      <c r="B364" s="31"/>
      <c r="C364" s="31"/>
      <c r="D364" s="30"/>
      <c r="E364" s="30"/>
      <c r="F364" s="30"/>
      <c r="G364" s="30"/>
      <c r="H364" s="19" t="str">
        <f t="shared" si="10"/>
        <v/>
      </c>
      <c r="I364" s="28">
        <f t="shared" si="11"/>
        <v>0</v>
      </c>
      <c r="J364" s="31"/>
    </row>
    <row r="365" spans="1:10" x14ac:dyDescent="0.25">
      <c r="A365" s="32"/>
      <c r="B365" s="33"/>
      <c r="C365" s="33"/>
      <c r="D365" s="32"/>
      <c r="E365" s="32"/>
      <c r="F365" s="32"/>
      <c r="G365" s="32"/>
      <c r="H365" s="34" t="str">
        <f t="shared" si="10"/>
        <v/>
      </c>
      <c r="I365" s="35">
        <f t="shared" si="11"/>
        <v>0</v>
      </c>
      <c r="J365" s="33"/>
    </row>
    <row r="366" spans="1:10" x14ac:dyDescent="0.25">
      <c r="A366" s="30"/>
      <c r="B366" s="31"/>
      <c r="C366" s="31"/>
      <c r="D366" s="30"/>
      <c r="E366" s="30"/>
      <c r="F366" s="30"/>
      <c r="G366" s="30"/>
      <c r="H366" s="19" t="str">
        <f t="shared" si="10"/>
        <v/>
      </c>
      <c r="I366" s="28">
        <f t="shared" si="11"/>
        <v>0</v>
      </c>
      <c r="J366" s="31"/>
    </row>
    <row r="367" spans="1:10" x14ac:dyDescent="0.25">
      <c r="A367" s="32"/>
      <c r="B367" s="33"/>
      <c r="C367" s="33"/>
      <c r="D367" s="32"/>
      <c r="E367" s="32"/>
      <c r="F367" s="32"/>
      <c r="G367" s="32"/>
      <c r="H367" s="34" t="str">
        <f t="shared" si="10"/>
        <v/>
      </c>
      <c r="I367" s="35">
        <f t="shared" si="11"/>
        <v>0</v>
      </c>
      <c r="J367" s="33"/>
    </row>
    <row r="368" spans="1:10" x14ac:dyDescent="0.25">
      <c r="A368" s="30"/>
      <c r="B368" s="31"/>
      <c r="C368" s="31"/>
      <c r="D368" s="30"/>
      <c r="E368" s="30"/>
      <c r="F368" s="30"/>
      <c r="G368" s="30"/>
      <c r="H368" s="19" t="str">
        <f t="shared" si="10"/>
        <v/>
      </c>
      <c r="I368" s="28">
        <f t="shared" si="11"/>
        <v>0</v>
      </c>
      <c r="J368" s="31"/>
    </row>
    <row r="369" spans="1:10" x14ac:dyDescent="0.25">
      <c r="A369" s="32"/>
      <c r="B369" s="33"/>
      <c r="C369" s="33"/>
      <c r="D369" s="32"/>
      <c r="E369" s="32"/>
      <c r="F369" s="32"/>
      <c r="G369" s="32"/>
      <c r="H369" s="34" t="str">
        <f t="shared" si="10"/>
        <v/>
      </c>
      <c r="I369" s="35">
        <f t="shared" si="11"/>
        <v>0</v>
      </c>
      <c r="J369" s="33"/>
    </row>
    <row r="370" spans="1:10" x14ac:dyDescent="0.25">
      <c r="A370" s="30"/>
      <c r="B370" s="31"/>
      <c r="C370" s="31"/>
      <c r="D370" s="30"/>
      <c r="E370" s="30"/>
      <c r="F370" s="30"/>
      <c r="G370" s="30"/>
      <c r="H370" s="19" t="str">
        <f t="shared" si="10"/>
        <v/>
      </c>
      <c r="I370" s="28">
        <f t="shared" si="11"/>
        <v>0</v>
      </c>
      <c r="J370" s="31"/>
    </row>
    <row r="371" spans="1:10" x14ac:dyDescent="0.25">
      <c r="A371" s="32"/>
      <c r="B371" s="33"/>
      <c r="C371" s="33"/>
      <c r="D371" s="32"/>
      <c r="E371" s="32"/>
      <c r="F371" s="32"/>
      <c r="G371" s="32"/>
      <c r="H371" s="34" t="str">
        <f t="shared" si="10"/>
        <v/>
      </c>
      <c r="I371" s="35">
        <f t="shared" si="11"/>
        <v>0</v>
      </c>
      <c r="J371" s="33"/>
    </row>
    <row r="372" spans="1:10" x14ac:dyDescent="0.25">
      <c r="A372" s="30"/>
      <c r="B372" s="31"/>
      <c r="C372" s="31"/>
      <c r="D372" s="30"/>
      <c r="E372" s="30"/>
      <c r="F372" s="30"/>
      <c r="G372" s="30"/>
      <c r="H372" s="19" t="str">
        <f t="shared" si="10"/>
        <v/>
      </c>
      <c r="I372" s="28">
        <f t="shared" si="11"/>
        <v>0</v>
      </c>
      <c r="J372" s="31"/>
    </row>
    <row r="373" spans="1:10" x14ac:dyDescent="0.25">
      <c r="A373" s="32"/>
      <c r="B373" s="33"/>
      <c r="C373" s="33"/>
      <c r="D373" s="32"/>
      <c r="E373" s="32"/>
      <c r="F373" s="32"/>
      <c r="G373" s="32"/>
      <c r="H373" s="34" t="str">
        <f t="shared" si="10"/>
        <v/>
      </c>
      <c r="I373" s="35">
        <f t="shared" si="11"/>
        <v>0</v>
      </c>
      <c r="J373" s="33"/>
    </row>
    <row r="374" spans="1:10" x14ac:dyDescent="0.25">
      <c r="A374" s="30"/>
      <c r="B374" s="31"/>
      <c r="C374" s="31"/>
      <c r="D374" s="30"/>
      <c r="E374" s="30"/>
      <c r="F374" s="30"/>
      <c r="G374" s="30"/>
      <c r="H374" s="19" t="str">
        <f t="shared" si="10"/>
        <v/>
      </c>
      <c r="I374" s="28">
        <f t="shared" si="11"/>
        <v>0</v>
      </c>
      <c r="J374" s="31"/>
    </row>
    <row r="375" spans="1:10" x14ac:dyDescent="0.25">
      <c r="A375" s="32"/>
      <c r="B375" s="33"/>
      <c r="C375" s="33"/>
      <c r="D375" s="32"/>
      <c r="E375" s="32"/>
      <c r="F375" s="32"/>
      <c r="G375" s="32"/>
      <c r="H375" s="34" t="str">
        <f t="shared" si="10"/>
        <v/>
      </c>
      <c r="I375" s="35">
        <f t="shared" si="11"/>
        <v>0</v>
      </c>
      <c r="J375" s="33"/>
    </row>
    <row r="376" spans="1:10" x14ac:dyDescent="0.25">
      <c r="A376" s="30"/>
      <c r="B376" s="31"/>
      <c r="C376" s="31"/>
      <c r="D376" s="30"/>
      <c r="E376" s="30"/>
      <c r="F376" s="30"/>
      <c r="G376" s="30"/>
      <c r="H376" s="19" t="str">
        <f t="shared" si="10"/>
        <v/>
      </c>
      <c r="I376" s="28">
        <f t="shared" si="11"/>
        <v>0</v>
      </c>
      <c r="J376" s="31"/>
    </row>
    <row r="377" spans="1:10" x14ac:dyDescent="0.25">
      <c r="A377" s="32"/>
      <c r="B377" s="33"/>
      <c r="C377" s="33"/>
      <c r="D377" s="32"/>
      <c r="E377" s="32"/>
      <c r="F377" s="32"/>
      <c r="G377" s="32"/>
      <c r="H377" s="34" t="str">
        <f t="shared" si="10"/>
        <v/>
      </c>
      <c r="I377" s="35">
        <f t="shared" si="11"/>
        <v>0</v>
      </c>
      <c r="J377" s="33"/>
    </row>
    <row r="378" spans="1:10" x14ac:dyDescent="0.25">
      <c r="A378" s="30"/>
      <c r="B378" s="31"/>
      <c r="C378" s="31"/>
      <c r="D378" s="30"/>
      <c r="E378" s="30"/>
      <c r="F378" s="30"/>
      <c r="G378" s="30"/>
      <c r="H378" s="19" t="str">
        <f t="shared" si="10"/>
        <v/>
      </c>
      <c r="I378" s="28">
        <f t="shared" si="11"/>
        <v>0</v>
      </c>
      <c r="J378" s="31"/>
    </row>
    <row r="379" spans="1:10" x14ac:dyDescent="0.25">
      <c r="A379" s="32"/>
      <c r="B379" s="33"/>
      <c r="C379" s="33"/>
      <c r="D379" s="32"/>
      <c r="E379" s="32"/>
      <c r="F379" s="32"/>
      <c r="G379" s="32"/>
      <c r="H379" s="34" t="str">
        <f t="shared" si="10"/>
        <v/>
      </c>
      <c r="I379" s="35">
        <f t="shared" si="11"/>
        <v>0</v>
      </c>
      <c r="J379" s="33"/>
    </row>
    <row r="380" spans="1:10" x14ac:dyDescent="0.25">
      <c r="A380" s="30"/>
      <c r="B380" s="31"/>
      <c r="C380" s="31"/>
      <c r="D380" s="30"/>
      <c r="E380" s="30"/>
      <c r="F380" s="30"/>
      <c r="G380" s="30"/>
      <c r="H380" s="19" t="str">
        <f t="shared" si="10"/>
        <v/>
      </c>
      <c r="I380" s="28">
        <f t="shared" si="11"/>
        <v>0</v>
      </c>
      <c r="J380" s="31"/>
    </row>
    <row r="381" spans="1:10" x14ac:dyDescent="0.25">
      <c r="A381" s="32"/>
      <c r="B381" s="33"/>
      <c r="C381" s="33"/>
      <c r="D381" s="32"/>
      <c r="E381" s="32"/>
      <c r="F381" s="32"/>
      <c r="G381" s="32"/>
      <c r="H381" s="34" t="str">
        <f t="shared" si="10"/>
        <v/>
      </c>
      <c r="I381" s="35">
        <f t="shared" si="11"/>
        <v>0</v>
      </c>
      <c r="J381" s="33"/>
    </row>
    <row r="382" spans="1:10" x14ac:dyDescent="0.25">
      <c r="A382" s="30"/>
      <c r="B382" s="31"/>
      <c r="C382" s="31"/>
      <c r="D382" s="30"/>
      <c r="E382" s="30"/>
      <c r="F382" s="30"/>
      <c r="G382" s="30"/>
      <c r="H382" s="19" t="str">
        <f t="shared" si="10"/>
        <v/>
      </c>
      <c r="I382" s="28">
        <f t="shared" si="11"/>
        <v>0</v>
      </c>
      <c r="J382" s="31"/>
    </row>
    <row r="383" spans="1:10" x14ac:dyDescent="0.25">
      <c r="A383" s="32"/>
      <c r="B383" s="33"/>
      <c r="C383" s="33"/>
      <c r="D383" s="32"/>
      <c r="E383" s="32"/>
      <c r="F383" s="32"/>
      <c r="G383" s="32"/>
      <c r="H383" s="34" t="str">
        <f t="shared" si="10"/>
        <v/>
      </c>
      <c r="I383" s="35">
        <f t="shared" si="11"/>
        <v>0</v>
      </c>
      <c r="J383" s="33"/>
    </row>
    <row r="384" spans="1:10" x14ac:dyDescent="0.25">
      <c r="A384" s="30"/>
      <c r="B384" s="31"/>
      <c r="C384" s="31"/>
      <c r="D384" s="30"/>
      <c r="E384" s="30"/>
      <c r="F384" s="30"/>
      <c r="G384" s="30"/>
      <c r="H384" s="19" t="str">
        <f t="shared" si="10"/>
        <v/>
      </c>
      <c r="I384" s="28">
        <f t="shared" si="11"/>
        <v>0</v>
      </c>
      <c r="J384" s="31"/>
    </row>
    <row r="385" spans="1:10" x14ac:dyDescent="0.25">
      <c r="A385" s="32"/>
      <c r="B385" s="33"/>
      <c r="C385" s="33"/>
      <c r="D385" s="32"/>
      <c r="E385" s="32"/>
      <c r="F385" s="32"/>
      <c r="G385" s="32"/>
      <c r="H385" s="34" t="str">
        <f t="shared" si="10"/>
        <v/>
      </c>
      <c r="I385" s="35">
        <f t="shared" si="11"/>
        <v>0</v>
      </c>
      <c r="J385" s="33"/>
    </row>
    <row r="386" spans="1:10" x14ac:dyDescent="0.25">
      <c r="A386" s="30"/>
      <c r="B386" s="31"/>
      <c r="C386" s="31"/>
      <c r="D386" s="30"/>
      <c r="E386" s="30"/>
      <c r="F386" s="30"/>
      <c r="G386" s="30"/>
      <c r="H386" s="19" t="str">
        <f t="shared" ref="H386:H449" si="12">IF(F386&gt;0, F386-G386, "")</f>
        <v/>
      </c>
      <c r="I386" s="28">
        <f t="shared" ref="I386:I449" si="13">IF(F386&gt;0, G386/F386, 0)</f>
        <v>0</v>
      </c>
      <c r="J386" s="31"/>
    </row>
    <row r="387" spans="1:10" x14ac:dyDescent="0.25">
      <c r="A387" s="32"/>
      <c r="B387" s="33"/>
      <c r="C387" s="33"/>
      <c r="D387" s="32"/>
      <c r="E387" s="32"/>
      <c r="F387" s="32"/>
      <c r="G387" s="32"/>
      <c r="H387" s="34" t="str">
        <f t="shared" si="12"/>
        <v/>
      </c>
      <c r="I387" s="35">
        <f t="shared" si="13"/>
        <v>0</v>
      </c>
      <c r="J387" s="33"/>
    </row>
    <row r="388" spans="1:10" x14ac:dyDescent="0.25">
      <c r="A388" s="30"/>
      <c r="B388" s="31"/>
      <c r="C388" s="31"/>
      <c r="D388" s="30"/>
      <c r="E388" s="30"/>
      <c r="F388" s="30"/>
      <c r="G388" s="30"/>
      <c r="H388" s="19" t="str">
        <f t="shared" si="12"/>
        <v/>
      </c>
      <c r="I388" s="28">
        <f t="shared" si="13"/>
        <v>0</v>
      </c>
      <c r="J388" s="31"/>
    </row>
    <row r="389" spans="1:10" x14ac:dyDescent="0.25">
      <c r="A389" s="32"/>
      <c r="B389" s="33"/>
      <c r="C389" s="33"/>
      <c r="D389" s="32"/>
      <c r="E389" s="32"/>
      <c r="F389" s="32"/>
      <c r="G389" s="32"/>
      <c r="H389" s="34" t="str">
        <f t="shared" si="12"/>
        <v/>
      </c>
      <c r="I389" s="35">
        <f t="shared" si="13"/>
        <v>0</v>
      </c>
      <c r="J389" s="33"/>
    </row>
    <row r="390" spans="1:10" x14ac:dyDescent="0.25">
      <c r="A390" s="30"/>
      <c r="B390" s="31"/>
      <c r="C390" s="31"/>
      <c r="D390" s="30"/>
      <c r="E390" s="30"/>
      <c r="F390" s="30"/>
      <c r="G390" s="30"/>
      <c r="H390" s="19" t="str">
        <f t="shared" si="12"/>
        <v/>
      </c>
      <c r="I390" s="28">
        <f t="shared" si="13"/>
        <v>0</v>
      </c>
      <c r="J390" s="31"/>
    </row>
    <row r="391" spans="1:10" x14ac:dyDescent="0.25">
      <c r="A391" s="32"/>
      <c r="B391" s="33"/>
      <c r="C391" s="33"/>
      <c r="D391" s="32"/>
      <c r="E391" s="32"/>
      <c r="F391" s="32"/>
      <c r="G391" s="32"/>
      <c r="H391" s="34" t="str">
        <f t="shared" si="12"/>
        <v/>
      </c>
      <c r="I391" s="35">
        <f t="shared" si="13"/>
        <v>0</v>
      </c>
      <c r="J391" s="33"/>
    </row>
    <row r="392" spans="1:10" x14ac:dyDescent="0.25">
      <c r="A392" s="30"/>
      <c r="B392" s="31"/>
      <c r="C392" s="31"/>
      <c r="D392" s="30"/>
      <c r="E392" s="30"/>
      <c r="F392" s="30"/>
      <c r="G392" s="30"/>
      <c r="H392" s="19" t="str">
        <f t="shared" si="12"/>
        <v/>
      </c>
      <c r="I392" s="28">
        <f t="shared" si="13"/>
        <v>0</v>
      </c>
      <c r="J392" s="31"/>
    </row>
    <row r="393" spans="1:10" x14ac:dyDescent="0.25">
      <c r="A393" s="32"/>
      <c r="B393" s="33"/>
      <c r="C393" s="33"/>
      <c r="D393" s="32"/>
      <c r="E393" s="32"/>
      <c r="F393" s="32"/>
      <c r="G393" s="32"/>
      <c r="H393" s="34" t="str">
        <f t="shared" si="12"/>
        <v/>
      </c>
      <c r="I393" s="35">
        <f t="shared" si="13"/>
        <v>0</v>
      </c>
      <c r="J393" s="33"/>
    </row>
    <row r="394" spans="1:10" x14ac:dyDescent="0.25">
      <c r="A394" s="30"/>
      <c r="B394" s="31"/>
      <c r="C394" s="31"/>
      <c r="D394" s="30"/>
      <c r="E394" s="30"/>
      <c r="F394" s="30"/>
      <c r="G394" s="30"/>
      <c r="H394" s="19" t="str">
        <f t="shared" si="12"/>
        <v/>
      </c>
      <c r="I394" s="28">
        <f t="shared" si="13"/>
        <v>0</v>
      </c>
      <c r="J394" s="31"/>
    </row>
    <row r="395" spans="1:10" x14ac:dyDescent="0.25">
      <c r="A395" s="32"/>
      <c r="B395" s="33"/>
      <c r="C395" s="33"/>
      <c r="D395" s="32"/>
      <c r="E395" s="32"/>
      <c r="F395" s="32"/>
      <c r="G395" s="32"/>
      <c r="H395" s="34" t="str">
        <f t="shared" si="12"/>
        <v/>
      </c>
      <c r="I395" s="35">
        <f t="shared" si="13"/>
        <v>0</v>
      </c>
      <c r="J395" s="33"/>
    </row>
    <row r="396" spans="1:10" x14ac:dyDescent="0.25">
      <c r="A396" s="30"/>
      <c r="B396" s="31"/>
      <c r="C396" s="31"/>
      <c r="D396" s="30"/>
      <c r="E396" s="30"/>
      <c r="F396" s="30"/>
      <c r="G396" s="30"/>
      <c r="H396" s="19" t="str">
        <f t="shared" si="12"/>
        <v/>
      </c>
      <c r="I396" s="28">
        <f t="shared" si="13"/>
        <v>0</v>
      </c>
      <c r="J396" s="31"/>
    </row>
    <row r="397" spans="1:10" x14ac:dyDescent="0.25">
      <c r="A397" s="32"/>
      <c r="B397" s="33"/>
      <c r="C397" s="33"/>
      <c r="D397" s="32"/>
      <c r="E397" s="32"/>
      <c r="F397" s="32"/>
      <c r="G397" s="32"/>
      <c r="H397" s="34" t="str">
        <f t="shared" si="12"/>
        <v/>
      </c>
      <c r="I397" s="35">
        <f t="shared" si="13"/>
        <v>0</v>
      </c>
      <c r="J397" s="33"/>
    </row>
    <row r="398" spans="1:10" x14ac:dyDescent="0.25">
      <c r="A398" s="30"/>
      <c r="B398" s="31"/>
      <c r="C398" s="31"/>
      <c r="D398" s="30"/>
      <c r="E398" s="30"/>
      <c r="F398" s="30"/>
      <c r="G398" s="30"/>
      <c r="H398" s="19" t="str">
        <f t="shared" si="12"/>
        <v/>
      </c>
      <c r="I398" s="28">
        <f t="shared" si="13"/>
        <v>0</v>
      </c>
      <c r="J398" s="31"/>
    </row>
    <row r="399" spans="1:10" x14ac:dyDescent="0.25">
      <c r="A399" s="32"/>
      <c r="B399" s="33"/>
      <c r="C399" s="33"/>
      <c r="D399" s="32"/>
      <c r="E399" s="32"/>
      <c r="F399" s="32"/>
      <c r="G399" s="32"/>
      <c r="H399" s="34" t="str">
        <f t="shared" si="12"/>
        <v/>
      </c>
      <c r="I399" s="35">
        <f t="shared" si="13"/>
        <v>0</v>
      </c>
      <c r="J399" s="33"/>
    </row>
    <row r="400" spans="1:10" x14ac:dyDescent="0.25">
      <c r="A400" s="30"/>
      <c r="B400" s="31"/>
      <c r="C400" s="31"/>
      <c r="D400" s="30"/>
      <c r="E400" s="30"/>
      <c r="F400" s="30"/>
      <c r="G400" s="30"/>
      <c r="H400" s="19" t="str">
        <f t="shared" si="12"/>
        <v/>
      </c>
      <c r="I400" s="28">
        <f t="shared" si="13"/>
        <v>0</v>
      </c>
      <c r="J400" s="31"/>
    </row>
    <row r="401" spans="1:10" x14ac:dyDescent="0.25">
      <c r="A401" s="32"/>
      <c r="B401" s="33"/>
      <c r="C401" s="33"/>
      <c r="D401" s="32"/>
      <c r="E401" s="32"/>
      <c r="F401" s="32"/>
      <c r="G401" s="32"/>
      <c r="H401" s="34" t="str">
        <f t="shared" si="12"/>
        <v/>
      </c>
      <c r="I401" s="35">
        <f t="shared" si="13"/>
        <v>0</v>
      </c>
      <c r="J401" s="33"/>
    </row>
    <row r="402" spans="1:10" x14ac:dyDescent="0.25">
      <c r="A402" s="30"/>
      <c r="B402" s="31"/>
      <c r="C402" s="31"/>
      <c r="D402" s="30"/>
      <c r="E402" s="30"/>
      <c r="F402" s="30"/>
      <c r="G402" s="30"/>
      <c r="H402" s="19" t="str">
        <f t="shared" si="12"/>
        <v/>
      </c>
      <c r="I402" s="28">
        <f t="shared" si="13"/>
        <v>0</v>
      </c>
      <c r="J402" s="31"/>
    </row>
    <row r="403" spans="1:10" x14ac:dyDescent="0.25">
      <c r="A403" s="32"/>
      <c r="B403" s="33"/>
      <c r="C403" s="33"/>
      <c r="D403" s="32"/>
      <c r="E403" s="32"/>
      <c r="F403" s="32"/>
      <c r="G403" s="32"/>
      <c r="H403" s="34" t="str">
        <f t="shared" si="12"/>
        <v/>
      </c>
      <c r="I403" s="35">
        <f t="shared" si="13"/>
        <v>0</v>
      </c>
      <c r="J403" s="33"/>
    </row>
    <row r="404" spans="1:10" x14ac:dyDescent="0.25">
      <c r="A404" s="30"/>
      <c r="B404" s="31"/>
      <c r="C404" s="31"/>
      <c r="D404" s="30"/>
      <c r="E404" s="30"/>
      <c r="F404" s="30"/>
      <c r="G404" s="30"/>
      <c r="H404" s="19" t="str">
        <f t="shared" si="12"/>
        <v/>
      </c>
      <c r="I404" s="28">
        <f t="shared" si="13"/>
        <v>0</v>
      </c>
      <c r="J404" s="31"/>
    </row>
    <row r="405" spans="1:10" x14ac:dyDescent="0.25">
      <c r="A405" s="32"/>
      <c r="B405" s="33"/>
      <c r="C405" s="33"/>
      <c r="D405" s="32"/>
      <c r="E405" s="32"/>
      <c r="F405" s="32"/>
      <c r="G405" s="32"/>
      <c r="H405" s="34" t="str">
        <f t="shared" si="12"/>
        <v/>
      </c>
      <c r="I405" s="35">
        <f t="shared" si="13"/>
        <v>0</v>
      </c>
      <c r="J405" s="33"/>
    </row>
    <row r="406" spans="1:10" x14ac:dyDescent="0.25">
      <c r="A406" s="30"/>
      <c r="B406" s="31"/>
      <c r="C406" s="31"/>
      <c r="D406" s="30"/>
      <c r="E406" s="30"/>
      <c r="F406" s="30"/>
      <c r="G406" s="30"/>
      <c r="H406" s="19" t="str">
        <f t="shared" si="12"/>
        <v/>
      </c>
      <c r="I406" s="28">
        <f t="shared" si="13"/>
        <v>0</v>
      </c>
      <c r="J406" s="31"/>
    </row>
    <row r="407" spans="1:10" x14ac:dyDescent="0.25">
      <c r="A407" s="32"/>
      <c r="B407" s="33"/>
      <c r="C407" s="33"/>
      <c r="D407" s="32"/>
      <c r="E407" s="32"/>
      <c r="F407" s="32"/>
      <c r="G407" s="32"/>
      <c r="H407" s="34" t="str">
        <f t="shared" si="12"/>
        <v/>
      </c>
      <c r="I407" s="35">
        <f t="shared" si="13"/>
        <v>0</v>
      </c>
      <c r="J407" s="33"/>
    </row>
    <row r="408" spans="1:10" x14ac:dyDescent="0.25">
      <c r="A408" s="30"/>
      <c r="B408" s="31"/>
      <c r="C408" s="31"/>
      <c r="D408" s="30"/>
      <c r="E408" s="30"/>
      <c r="F408" s="30"/>
      <c r="G408" s="30"/>
      <c r="H408" s="19" t="str">
        <f t="shared" si="12"/>
        <v/>
      </c>
      <c r="I408" s="28">
        <f t="shared" si="13"/>
        <v>0</v>
      </c>
      <c r="J408" s="31"/>
    </row>
    <row r="409" spans="1:10" x14ac:dyDescent="0.25">
      <c r="A409" s="32"/>
      <c r="B409" s="33"/>
      <c r="C409" s="33"/>
      <c r="D409" s="32"/>
      <c r="E409" s="32"/>
      <c r="F409" s="32"/>
      <c r="G409" s="32"/>
      <c r="H409" s="34" t="str">
        <f t="shared" si="12"/>
        <v/>
      </c>
      <c r="I409" s="35">
        <f t="shared" si="13"/>
        <v>0</v>
      </c>
      <c r="J409" s="33"/>
    </row>
    <row r="410" spans="1:10" x14ac:dyDescent="0.25">
      <c r="A410" s="30"/>
      <c r="B410" s="31"/>
      <c r="C410" s="31"/>
      <c r="D410" s="30"/>
      <c r="E410" s="30"/>
      <c r="F410" s="30"/>
      <c r="G410" s="30"/>
      <c r="H410" s="19" t="str">
        <f t="shared" si="12"/>
        <v/>
      </c>
      <c r="I410" s="28">
        <f t="shared" si="13"/>
        <v>0</v>
      </c>
      <c r="J410" s="31"/>
    </row>
    <row r="411" spans="1:10" x14ac:dyDescent="0.25">
      <c r="A411" s="32"/>
      <c r="B411" s="33"/>
      <c r="C411" s="33"/>
      <c r="D411" s="32"/>
      <c r="E411" s="32"/>
      <c r="F411" s="32"/>
      <c r="G411" s="32"/>
      <c r="H411" s="34" t="str">
        <f t="shared" si="12"/>
        <v/>
      </c>
      <c r="I411" s="35">
        <f t="shared" si="13"/>
        <v>0</v>
      </c>
      <c r="J411" s="33"/>
    </row>
    <row r="412" spans="1:10" x14ac:dyDescent="0.25">
      <c r="A412" s="30"/>
      <c r="B412" s="31"/>
      <c r="C412" s="31"/>
      <c r="D412" s="30"/>
      <c r="E412" s="30"/>
      <c r="F412" s="30"/>
      <c r="G412" s="30"/>
      <c r="H412" s="19" t="str">
        <f t="shared" si="12"/>
        <v/>
      </c>
      <c r="I412" s="28">
        <f t="shared" si="13"/>
        <v>0</v>
      </c>
      <c r="J412" s="31"/>
    </row>
    <row r="413" spans="1:10" x14ac:dyDescent="0.25">
      <c r="A413" s="32"/>
      <c r="B413" s="33"/>
      <c r="C413" s="33"/>
      <c r="D413" s="32"/>
      <c r="E413" s="32"/>
      <c r="F413" s="32"/>
      <c r="G413" s="32"/>
      <c r="H413" s="34" t="str">
        <f t="shared" si="12"/>
        <v/>
      </c>
      <c r="I413" s="35">
        <f t="shared" si="13"/>
        <v>0</v>
      </c>
      <c r="J413" s="33"/>
    </row>
    <row r="414" spans="1:10" x14ac:dyDescent="0.25">
      <c r="A414" s="30"/>
      <c r="B414" s="31"/>
      <c r="C414" s="31"/>
      <c r="D414" s="30"/>
      <c r="E414" s="30"/>
      <c r="F414" s="30"/>
      <c r="G414" s="30"/>
      <c r="H414" s="19" t="str">
        <f t="shared" si="12"/>
        <v/>
      </c>
      <c r="I414" s="28">
        <f t="shared" si="13"/>
        <v>0</v>
      </c>
      <c r="J414" s="31"/>
    </row>
    <row r="415" spans="1:10" x14ac:dyDescent="0.25">
      <c r="A415" s="32"/>
      <c r="B415" s="33"/>
      <c r="C415" s="33"/>
      <c r="D415" s="32"/>
      <c r="E415" s="32"/>
      <c r="F415" s="32"/>
      <c r="G415" s="32"/>
      <c r="H415" s="34" t="str">
        <f t="shared" si="12"/>
        <v/>
      </c>
      <c r="I415" s="35">
        <f t="shared" si="13"/>
        <v>0</v>
      </c>
      <c r="J415" s="33"/>
    </row>
    <row r="416" spans="1:10" x14ac:dyDescent="0.25">
      <c r="A416" s="30"/>
      <c r="B416" s="31"/>
      <c r="C416" s="31"/>
      <c r="D416" s="30"/>
      <c r="E416" s="30"/>
      <c r="F416" s="30"/>
      <c r="G416" s="30"/>
      <c r="H416" s="19" t="str">
        <f t="shared" si="12"/>
        <v/>
      </c>
      <c r="I416" s="28">
        <f t="shared" si="13"/>
        <v>0</v>
      </c>
      <c r="J416" s="31"/>
    </row>
    <row r="417" spans="1:10" x14ac:dyDescent="0.25">
      <c r="A417" s="32"/>
      <c r="B417" s="33"/>
      <c r="C417" s="33"/>
      <c r="D417" s="32"/>
      <c r="E417" s="32"/>
      <c r="F417" s="32"/>
      <c r="G417" s="32"/>
      <c r="H417" s="34" t="str">
        <f t="shared" si="12"/>
        <v/>
      </c>
      <c r="I417" s="35">
        <f t="shared" si="13"/>
        <v>0</v>
      </c>
      <c r="J417" s="33"/>
    </row>
    <row r="418" spans="1:10" x14ac:dyDescent="0.25">
      <c r="A418" s="30"/>
      <c r="B418" s="31"/>
      <c r="C418" s="31"/>
      <c r="D418" s="30"/>
      <c r="E418" s="30"/>
      <c r="F418" s="30"/>
      <c r="G418" s="30"/>
      <c r="H418" s="19" t="str">
        <f t="shared" si="12"/>
        <v/>
      </c>
      <c r="I418" s="28">
        <f t="shared" si="13"/>
        <v>0</v>
      </c>
      <c r="J418" s="31"/>
    </row>
    <row r="419" spans="1:10" x14ac:dyDescent="0.25">
      <c r="A419" s="32"/>
      <c r="B419" s="33"/>
      <c r="C419" s="33"/>
      <c r="D419" s="32"/>
      <c r="E419" s="32"/>
      <c r="F419" s="32"/>
      <c r="G419" s="32"/>
      <c r="H419" s="34" t="str">
        <f t="shared" si="12"/>
        <v/>
      </c>
      <c r="I419" s="35">
        <f t="shared" si="13"/>
        <v>0</v>
      </c>
      <c r="J419" s="33"/>
    </row>
    <row r="420" spans="1:10" x14ac:dyDescent="0.25">
      <c r="A420" s="30"/>
      <c r="B420" s="31"/>
      <c r="C420" s="31"/>
      <c r="D420" s="30"/>
      <c r="E420" s="30"/>
      <c r="F420" s="30"/>
      <c r="G420" s="30"/>
      <c r="H420" s="19" t="str">
        <f t="shared" si="12"/>
        <v/>
      </c>
      <c r="I420" s="28">
        <f t="shared" si="13"/>
        <v>0</v>
      </c>
      <c r="J420" s="31"/>
    </row>
    <row r="421" spans="1:10" x14ac:dyDescent="0.25">
      <c r="A421" s="32"/>
      <c r="B421" s="33"/>
      <c r="C421" s="33"/>
      <c r="D421" s="32"/>
      <c r="E421" s="32"/>
      <c r="F421" s="32"/>
      <c r="G421" s="32"/>
      <c r="H421" s="34" t="str">
        <f t="shared" si="12"/>
        <v/>
      </c>
      <c r="I421" s="35">
        <f t="shared" si="13"/>
        <v>0</v>
      </c>
      <c r="J421" s="33"/>
    </row>
    <row r="422" spans="1:10" x14ac:dyDescent="0.25">
      <c r="A422" s="30"/>
      <c r="B422" s="31"/>
      <c r="C422" s="31"/>
      <c r="D422" s="30"/>
      <c r="E422" s="30"/>
      <c r="F422" s="30"/>
      <c r="G422" s="30"/>
      <c r="H422" s="19" t="str">
        <f t="shared" si="12"/>
        <v/>
      </c>
      <c r="I422" s="28">
        <f t="shared" si="13"/>
        <v>0</v>
      </c>
      <c r="J422" s="31"/>
    </row>
    <row r="423" spans="1:10" x14ac:dyDescent="0.25">
      <c r="A423" s="32"/>
      <c r="B423" s="33"/>
      <c r="C423" s="33"/>
      <c r="D423" s="32"/>
      <c r="E423" s="32"/>
      <c r="F423" s="32"/>
      <c r="G423" s="32"/>
      <c r="H423" s="34" t="str">
        <f t="shared" si="12"/>
        <v/>
      </c>
      <c r="I423" s="35">
        <f t="shared" si="13"/>
        <v>0</v>
      </c>
      <c r="J423" s="33"/>
    </row>
    <row r="424" spans="1:10" x14ac:dyDescent="0.25">
      <c r="A424" s="30"/>
      <c r="B424" s="31"/>
      <c r="C424" s="31"/>
      <c r="D424" s="30"/>
      <c r="E424" s="30"/>
      <c r="F424" s="30"/>
      <c r="G424" s="30"/>
      <c r="H424" s="19" t="str">
        <f t="shared" si="12"/>
        <v/>
      </c>
      <c r="I424" s="28">
        <f t="shared" si="13"/>
        <v>0</v>
      </c>
      <c r="J424" s="31"/>
    </row>
    <row r="425" spans="1:10" x14ac:dyDescent="0.25">
      <c r="A425" s="32"/>
      <c r="B425" s="33"/>
      <c r="C425" s="33"/>
      <c r="D425" s="32"/>
      <c r="E425" s="32"/>
      <c r="F425" s="32"/>
      <c r="G425" s="32"/>
      <c r="H425" s="34" t="str">
        <f t="shared" si="12"/>
        <v/>
      </c>
      <c r="I425" s="35">
        <f t="shared" si="13"/>
        <v>0</v>
      </c>
      <c r="J425" s="33"/>
    </row>
    <row r="426" spans="1:10" x14ac:dyDescent="0.25">
      <c r="A426" s="30"/>
      <c r="B426" s="31"/>
      <c r="C426" s="31"/>
      <c r="D426" s="30"/>
      <c r="E426" s="30"/>
      <c r="F426" s="30"/>
      <c r="G426" s="30"/>
      <c r="H426" s="19" t="str">
        <f t="shared" si="12"/>
        <v/>
      </c>
      <c r="I426" s="28">
        <f t="shared" si="13"/>
        <v>0</v>
      </c>
      <c r="J426" s="31"/>
    </row>
    <row r="427" spans="1:10" x14ac:dyDescent="0.25">
      <c r="A427" s="32"/>
      <c r="B427" s="33"/>
      <c r="C427" s="33"/>
      <c r="D427" s="32"/>
      <c r="E427" s="32"/>
      <c r="F427" s="32"/>
      <c r="G427" s="32"/>
      <c r="H427" s="34" t="str">
        <f t="shared" si="12"/>
        <v/>
      </c>
      <c r="I427" s="35">
        <f t="shared" si="13"/>
        <v>0</v>
      </c>
      <c r="J427" s="33"/>
    </row>
    <row r="428" spans="1:10" x14ac:dyDescent="0.25">
      <c r="A428" s="30"/>
      <c r="B428" s="31"/>
      <c r="C428" s="31"/>
      <c r="D428" s="30"/>
      <c r="E428" s="30"/>
      <c r="F428" s="30"/>
      <c r="G428" s="30"/>
      <c r="H428" s="19" t="str">
        <f t="shared" si="12"/>
        <v/>
      </c>
      <c r="I428" s="28">
        <f t="shared" si="13"/>
        <v>0</v>
      </c>
      <c r="J428" s="31"/>
    </row>
    <row r="429" spans="1:10" x14ac:dyDescent="0.25">
      <c r="A429" s="32"/>
      <c r="B429" s="33"/>
      <c r="C429" s="33"/>
      <c r="D429" s="32"/>
      <c r="E429" s="32"/>
      <c r="F429" s="32"/>
      <c r="G429" s="32"/>
      <c r="H429" s="34" t="str">
        <f t="shared" si="12"/>
        <v/>
      </c>
      <c r="I429" s="35">
        <f t="shared" si="13"/>
        <v>0</v>
      </c>
      <c r="J429" s="33"/>
    </row>
    <row r="430" spans="1:10" x14ac:dyDescent="0.25">
      <c r="A430" s="30"/>
      <c r="B430" s="31"/>
      <c r="C430" s="31"/>
      <c r="D430" s="30"/>
      <c r="E430" s="30"/>
      <c r="F430" s="30"/>
      <c r="G430" s="30"/>
      <c r="H430" s="19" t="str">
        <f t="shared" si="12"/>
        <v/>
      </c>
      <c r="I430" s="28">
        <f t="shared" si="13"/>
        <v>0</v>
      </c>
      <c r="J430" s="31"/>
    </row>
    <row r="431" spans="1:10" x14ac:dyDescent="0.25">
      <c r="A431" s="32"/>
      <c r="B431" s="33"/>
      <c r="C431" s="33"/>
      <c r="D431" s="32"/>
      <c r="E431" s="32"/>
      <c r="F431" s="32"/>
      <c r="G431" s="32"/>
      <c r="H431" s="34" t="str">
        <f t="shared" si="12"/>
        <v/>
      </c>
      <c r="I431" s="35">
        <f t="shared" si="13"/>
        <v>0</v>
      </c>
      <c r="J431" s="33"/>
    </row>
    <row r="432" spans="1:10" x14ac:dyDescent="0.25">
      <c r="A432" s="30"/>
      <c r="B432" s="31"/>
      <c r="C432" s="31"/>
      <c r="D432" s="30"/>
      <c r="E432" s="30"/>
      <c r="F432" s="30"/>
      <c r="G432" s="30"/>
      <c r="H432" s="19" t="str">
        <f t="shared" si="12"/>
        <v/>
      </c>
      <c r="I432" s="28">
        <f t="shared" si="13"/>
        <v>0</v>
      </c>
      <c r="J432" s="31"/>
    </row>
    <row r="433" spans="1:10" x14ac:dyDescent="0.25">
      <c r="A433" s="32"/>
      <c r="B433" s="33"/>
      <c r="C433" s="33"/>
      <c r="D433" s="32"/>
      <c r="E433" s="32"/>
      <c r="F433" s="32"/>
      <c r="G433" s="32"/>
      <c r="H433" s="34" t="str">
        <f t="shared" si="12"/>
        <v/>
      </c>
      <c r="I433" s="35">
        <f t="shared" si="13"/>
        <v>0</v>
      </c>
      <c r="J433" s="33"/>
    </row>
    <row r="434" spans="1:10" x14ac:dyDescent="0.25">
      <c r="A434" s="30"/>
      <c r="B434" s="31"/>
      <c r="C434" s="31"/>
      <c r="D434" s="30"/>
      <c r="E434" s="30"/>
      <c r="F434" s="30"/>
      <c r="G434" s="30"/>
      <c r="H434" s="19" t="str">
        <f t="shared" si="12"/>
        <v/>
      </c>
      <c r="I434" s="28">
        <f t="shared" si="13"/>
        <v>0</v>
      </c>
      <c r="J434" s="31"/>
    </row>
    <row r="435" spans="1:10" x14ac:dyDescent="0.25">
      <c r="A435" s="32"/>
      <c r="B435" s="33"/>
      <c r="C435" s="33"/>
      <c r="D435" s="32"/>
      <c r="E435" s="32"/>
      <c r="F435" s="32"/>
      <c r="G435" s="32"/>
      <c r="H435" s="34" t="str">
        <f t="shared" si="12"/>
        <v/>
      </c>
      <c r="I435" s="35">
        <f t="shared" si="13"/>
        <v>0</v>
      </c>
      <c r="J435" s="33"/>
    </row>
    <row r="436" spans="1:10" x14ac:dyDescent="0.25">
      <c r="A436" s="30"/>
      <c r="B436" s="31"/>
      <c r="C436" s="31"/>
      <c r="D436" s="30"/>
      <c r="E436" s="30"/>
      <c r="F436" s="30"/>
      <c r="G436" s="30"/>
      <c r="H436" s="19" t="str">
        <f t="shared" si="12"/>
        <v/>
      </c>
      <c r="I436" s="28">
        <f t="shared" si="13"/>
        <v>0</v>
      </c>
      <c r="J436" s="31"/>
    </row>
    <row r="437" spans="1:10" x14ac:dyDescent="0.25">
      <c r="A437" s="32"/>
      <c r="B437" s="33"/>
      <c r="C437" s="33"/>
      <c r="D437" s="32"/>
      <c r="E437" s="32"/>
      <c r="F437" s="32"/>
      <c r="G437" s="32"/>
      <c r="H437" s="34" t="str">
        <f t="shared" si="12"/>
        <v/>
      </c>
      <c r="I437" s="35">
        <f t="shared" si="13"/>
        <v>0</v>
      </c>
      <c r="J437" s="33"/>
    </row>
    <row r="438" spans="1:10" x14ac:dyDescent="0.25">
      <c r="A438" s="30"/>
      <c r="B438" s="31"/>
      <c r="C438" s="31"/>
      <c r="D438" s="30"/>
      <c r="E438" s="30"/>
      <c r="F438" s="30"/>
      <c r="G438" s="30"/>
      <c r="H438" s="19" t="str">
        <f t="shared" si="12"/>
        <v/>
      </c>
      <c r="I438" s="28">
        <f t="shared" si="13"/>
        <v>0</v>
      </c>
      <c r="J438" s="31"/>
    </row>
    <row r="439" spans="1:10" x14ac:dyDescent="0.25">
      <c r="A439" s="32"/>
      <c r="B439" s="33"/>
      <c r="C439" s="33"/>
      <c r="D439" s="32"/>
      <c r="E439" s="32"/>
      <c r="F439" s="32"/>
      <c r="G439" s="32"/>
      <c r="H439" s="34" t="str">
        <f t="shared" si="12"/>
        <v/>
      </c>
      <c r="I439" s="35">
        <f t="shared" si="13"/>
        <v>0</v>
      </c>
      <c r="J439" s="33"/>
    </row>
    <row r="440" spans="1:10" x14ac:dyDescent="0.25">
      <c r="A440" s="30"/>
      <c r="B440" s="31"/>
      <c r="C440" s="31"/>
      <c r="D440" s="30"/>
      <c r="E440" s="30"/>
      <c r="F440" s="30"/>
      <c r="G440" s="30"/>
      <c r="H440" s="19" t="str">
        <f t="shared" si="12"/>
        <v/>
      </c>
      <c r="I440" s="28">
        <f t="shared" si="13"/>
        <v>0</v>
      </c>
      <c r="J440" s="31"/>
    </row>
    <row r="441" spans="1:10" x14ac:dyDescent="0.25">
      <c r="A441" s="32"/>
      <c r="B441" s="33"/>
      <c r="C441" s="33"/>
      <c r="D441" s="32"/>
      <c r="E441" s="32"/>
      <c r="F441" s="32"/>
      <c r="G441" s="32"/>
      <c r="H441" s="34" t="str">
        <f t="shared" si="12"/>
        <v/>
      </c>
      <c r="I441" s="35">
        <f t="shared" si="13"/>
        <v>0</v>
      </c>
      <c r="J441" s="33"/>
    </row>
    <row r="442" spans="1:10" x14ac:dyDescent="0.25">
      <c r="A442" s="30"/>
      <c r="B442" s="31"/>
      <c r="C442" s="31"/>
      <c r="D442" s="30"/>
      <c r="E442" s="30"/>
      <c r="F442" s="30"/>
      <c r="G442" s="30"/>
      <c r="H442" s="19" t="str">
        <f t="shared" si="12"/>
        <v/>
      </c>
      <c r="I442" s="28">
        <f t="shared" si="13"/>
        <v>0</v>
      </c>
      <c r="J442" s="31"/>
    </row>
    <row r="443" spans="1:10" x14ac:dyDescent="0.25">
      <c r="A443" s="32"/>
      <c r="B443" s="33"/>
      <c r="C443" s="33"/>
      <c r="D443" s="32"/>
      <c r="E443" s="32"/>
      <c r="F443" s="32"/>
      <c r="G443" s="32"/>
      <c r="H443" s="34" t="str">
        <f t="shared" si="12"/>
        <v/>
      </c>
      <c r="I443" s="35">
        <f t="shared" si="13"/>
        <v>0</v>
      </c>
      <c r="J443" s="33"/>
    </row>
    <row r="444" spans="1:10" x14ac:dyDescent="0.25">
      <c r="A444" s="30"/>
      <c r="B444" s="31"/>
      <c r="C444" s="31"/>
      <c r="D444" s="30"/>
      <c r="E444" s="30"/>
      <c r="F444" s="30"/>
      <c r="G444" s="30"/>
      <c r="H444" s="19" t="str">
        <f t="shared" si="12"/>
        <v/>
      </c>
      <c r="I444" s="28">
        <f t="shared" si="13"/>
        <v>0</v>
      </c>
      <c r="J444" s="31"/>
    </row>
    <row r="445" spans="1:10" x14ac:dyDescent="0.25">
      <c r="A445" s="32"/>
      <c r="B445" s="33"/>
      <c r="C445" s="33"/>
      <c r="D445" s="32"/>
      <c r="E445" s="32"/>
      <c r="F445" s="32"/>
      <c r="G445" s="32"/>
      <c r="H445" s="34" t="str">
        <f t="shared" si="12"/>
        <v/>
      </c>
      <c r="I445" s="35">
        <f t="shared" si="13"/>
        <v>0</v>
      </c>
      <c r="J445" s="33"/>
    </row>
    <row r="446" spans="1:10" x14ac:dyDescent="0.25">
      <c r="A446" s="30"/>
      <c r="B446" s="31"/>
      <c r="C446" s="31"/>
      <c r="D446" s="30"/>
      <c r="E446" s="30"/>
      <c r="F446" s="30"/>
      <c r="G446" s="30"/>
      <c r="H446" s="19" t="str">
        <f t="shared" si="12"/>
        <v/>
      </c>
      <c r="I446" s="28">
        <f t="shared" si="13"/>
        <v>0</v>
      </c>
      <c r="J446" s="31"/>
    </row>
    <row r="447" spans="1:10" x14ac:dyDescent="0.25">
      <c r="A447" s="32"/>
      <c r="B447" s="33"/>
      <c r="C447" s="33"/>
      <c r="D447" s="32"/>
      <c r="E447" s="32"/>
      <c r="F447" s="32"/>
      <c r="G447" s="32"/>
      <c r="H447" s="34" t="str">
        <f t="shared" si="12"/>
        <v/>
      </c>
      <c r="I447" s="35">
        <f t="shared" si="13"/>
        <v>0</v>
      </c>
      <c r="J447" s="33"/>
    </row>
    <row r="448" spans="1:10" x14ac:dyDescent="0.25">
      <c r="A448" s="30"/>
      <c r="B448" s="31"/>
      <c r="C448" s="31"/>
      <c r="D448" s="30"/>
      <c r="E448" s="30"/>
      <c r="F448" s="30"/>
      <c r="G448" s="30"/>
      <c r="H448" s="19" t="str">
        <f t="shared" si="12"/>
        <v/>
      </c>
      <c r="I448" s="28">
        <f t="shared" si="13"/>
        <v>0</v>
      </c>
      <c r="J448" s="31"/>
    </row>
    <row r="449" spans="1:10" x14ac:dyDescent="0.25">
      <c r="A449" s="32"/>
      <c r="B449" s="33"/>
      <c r="C449" s="33"/>
      <c r="D449" s="32"/>
      <c r="E449" s="32"/>
      <c r="F449" s="32"/>
      <c r="G449" s="32"/>
      <c r="H449" s="34" t="str">
        <f t="shared" si="12"/>
        <v/>
      </c>
      <c r="I449" s="35">
        <f t="shared" si="13"/>
        <v>0</v>
      </c>
      <c r="J449" s="33"/>
    </row>
    <row r="450" spans="1:10" x14ac:dyDescent="0.25">
      <c r="A450" s="30"/>
      <c r="B450" s="31"/>
      <c r="C450" s="31"/>
      <c r="D450" s="30"/>
      <c r="E450" s="30"/>
      <c r="F450" s="30"/>
      <c r="G450" s="30"/>
      <c r="H450" s="19" t="str">
        <f t="shared" ref="H450:H499" si="14">IF(F450&gt;0, F450-G450, "")</f>
        <v/>
      </c>
      <c r="I450" s="28">
        <f t="shared" ref="I450:I499" si="15">IF(F450&gt;0, G450/F450, 0)</f>
        <v>0</v>
      </c>
      <c r="J450" s="31"/>
    </row>
    <row r="451" spans="1:10" x14ac:dyDescent="0.25">
      <c r="A451" s="32"/>
      <c r="B451" s="33"/>
      <c r="C451" s="33"/>
      <c r="D451" s="32"/>
      <c r="E451" s="32"/>
      <c r="F451" s="32"/>
      <c r="G451" s="32"/>
      <c r="H451" s="34" t="str">
        <f t="shared" si="14"/>
        <v/>
      </c>
      <c r="I451" s="35">
        <f t="shared" si="15"/>
        <v>0</v>
      </c>
      <c r="J451" s="33"/>
    </row>
    <row r="452" spans="1:10" x14ac:dyDescent="0.25">
      <c r="A452" s="30"/>
      <c r="B452" s="31"/>
      <c r="C452" s="31"/>
      <c r="D452" s="30"/>
      <c r="E452" s="30"/>
      <c r="F452" s="30"/>
      <c r="G452" s="30"/>
      <c r="H452" s="19" t="str">
        <f t="shared" si="14"/>
        <v/>
      </c>
      <c r="I452" s="28">
        <f t="shared" si="15"/>
        <v>0</v>
      </c>
      <c r="J452" s="31"/>
    </row>
    <row r="453" spans="1:10" x14ac:dyDescent="0.25">
      <c r="A453" s="32"/>
      <c r="B453" s="33"/>
      <c r="C453" s="33"/>
      <c r="D453" s="32"/>
      <c r="E453" s="32"/>
      <c r="F453" s="32"/>
      <c r="G453" s="32"/>
      <c r="H453" s="34" t="str">
        <f t="shared" si="14"/>
        <v/>
      </c>
      <c r="I453" s="35">
        <f t="shared" si="15"/>
        <v>0</v>
      </c>
      <c r="J453" s="33"/>
    </row>
    <row r="454" spans="1:10" x14ac:dyDescent="0.25">
      <c r="A454" s="30"/>
      <c r="B454" s="31"/>
      <c r="C454" s="31"/>
      <c r="D454" s="30"/>
      <c r="E454" s="30"/>
      <c r="F454" s="30"/>
      <c r="G454" s="30"/>
      <c r="H454" s="19" t="str">
        <f t="shared" si="14"/>
        <v/>
      </c>
      <c r="I454" s="28">
        <f t="shared" si="15"/>
        <v>0</v>
      </c>
      <c r="J454" s="31"/>
    </row>
    <row r="455" spans="1:10" x14ac:dyDescent="0.25">
      <c r="A455" s="32"/>
      <c r="B455" s="33"/>
      <c r="C455" s="33"/>
      <c r="D455" s="32"/>
      <c r="E455" s="32"/>
      <c r="F455" s="32"/>
      <c r="G455" s="32"/>
      <c r="H455" s="34" t="str">
        <f t="shared" si="14"/>
        <v/>
      </c>
      <c r="I455" s="35">
        <f t="shared" si="15"/>
        <v>0</v>
      </c>
      <c r="J455" s="33"/>
    </row>
    <row r="456" spans="1:10" x14ac:dyDescent="0.25">
      <c r="A456" s="30"/>
      <c r="B456" s="31"/>
      <c r="C456" s="31"/>
      <c r="D456" s="30"/>
      <c r="E456" s="30"/>
      <c r="F456" s="30"/>
      <c r="G456" s="30"/>
      <c r="H456" s="19" t="str">
        <f t="shared" si="14"/>
        <v/>
      </c>
      <c r="I456" s="28">
        <f t="shared" si="15"/>
        <v>0</v>
      </c>
      <c r="J456" s="31"/>
    </row>
    <row r="457" spans="1:10" x14ac:dyDescent="0.25">
      <c r="A457" s="32"/>
      <c r="B457" s="33"/>
      <c r="C457" s="33"/>
      <c r="D457" s="32"/>
      <c r="E457" s="32"/>
      <c r="F457" s="32"/>
      <c r="G457" s="32"/>
      <c r="H457" s="34" t="str">
        <f t="shared" si="14"/>
        <v/>
      </c>
      <c r="I457" s="35">
        <f t="shared" si="15"/>
        <v>0</v>
      </c>
      <c r="J457" s="33"/>
    </row>
    <row r="458" spans="1:10" x14ac:dyDescent="0.25">
      <c r="A458" s="30"/>
      <c r="B458" s="31"/>
      <c r="C458" s="31"/>
      <c r="D458" s="30"/>
      <c r="E458" s="30"/>
      <c r="F458" s="30"/>
      <c r="G458" s="30"/>
      <c r="H458" s="19" t="str">
        <f t="shared" si="14"/>
        <v/>
      </c>
      <c r="I458" s="28">
        <f t="shared" si="15"/>
        <v>0</v>
      </c>
      <c r="J458" s="31"/>
    </row>
    <row r="459" spans="1:10" x14ac:dyDescent="0.25">
      <c r="A459" s="32"/>
      <c r="B459" s="33"/>
      <c r="C459" s="33"/>
      <c r="D459" s="32"/>
      <c r="E459" s="32"/>
      <c r="F459" s="32"/>
      <c r="G459" s="32"/>
      <c r="H459" s="34" t="str">
        <f t="shared" si="14"/>
        <v/>
      </c>
      <c r="I459" s="35">
        <f t="shared" si="15"/>
        <v>0</v>
      </c>
      <c r="J459" s="33"/>
    </row>
    <row r="460" spans="1:10" x14ac:dyDescent="0.25">
      <c r="A460" s="30"/>
      <c r="B460" s="31"/>
      <c r="C460" s="31"/>
      <c r="D460" s="30"/>
      <c r="E460" s="30"/>
      <c r="F460" s="30"/>
      <c r="G460" s="30"/>
      <c r="H460" s="19" t="str">
        <f t="shared" si="14"/>
        <v/>
      </c>
      <c r="I460" s="28">
        <f t="shared" si="15"/>
        <v>0</v>
      </c>
      <c r="J460" s="31"/>
    </row>
    <row r="461" spans="1:10" x14ac:dyDescent="0.25">
      <c r="A461" s="32"/>
      <c r="B461" s="33"/>
      <c r="C461" s="33"/>
      <c r="D461" s="32"/>
      <c r="E461" s="32"/>
      <c r="F461" s="32"/>
      <c r="G461" s="32"/>
      <c r="H461" s="34" t="str">
        <f t="shared" si="14"/>
        <v/>
      </c>
      <c r="I461" s="35">
        <f t="shared" si="15"/>
        <v>0</v>
      </c>
      <c r="J461" s="33"/>
    </row>
    <row r="462" spans="1:10" x14ac:dyDescent="0.25">
      <c r="A462" s="30"/>
      <c r="B462" s="31"/>
      <c r="C462" s="31"/>
      <c r="D462" s="30"/>
      <c r="E462" s="30"/>
      <c r="F462" s="30"/>
      <c r="G462" s="30"/>
      <c r="H462" s="19" t="str">
        <f t="shared" si="14"/>
        <v/>
      </c>
      <c r="I462" s="28">
        <f t="shared" si="15"/>
        <v>0</v>
      </c>
      <c r="J462" s="31"/>
    </row>
    <row r="463" spans="1:10" x14ac:dyDescent="0.25">
      <c r="A463" s="32"/>
      <c r="B463" s="33"/>
      <c r="C463" s="33"/>
      <c r="D463" s="32"/>
      <c r="E463" s="32"/>
      <c r="F463" s="32"/>
      <c r="G463" s="32"/>
      <c r="H463" s="34" t="str">
        <f t="shared" si="14"/>
        <v/>
      </c>
      <c r="I463" s="35">
        <f t="shared" si="15"/>
        <v>0</v>
      </c>
      <c r="J463" s="33"/>
    </row>
    <row r="464" spans="1:10" x14ac:dyDescent="0.25">
      <c r="A464" s="30"/>
      <c r="B464" s="31"/>
      <c r="C464" s="31"/>
      <c r="D464" s="30"/>
      <c r="E464" s="30"/>
      <c r="F464" s="30"/>
      <c r="G464" s="30"/>
      <c r="H464" s="19" t="str">
        <f t="shared" si="14"/>
        <v/>
      </c>
      <c r="I464" s="28">
        <f t="shared" si="15"/>
        <v>0</v>
      </c>
      <c r="J464" s="31"/>
    </row>
    <row r="465" spans="1:10" x14ac:dyDescent="0.25">
      <c r="A465" s="32"/>
      <c r="B465" s="33"/>
      <c r="C465" s="33"/>
      <c r="D465" s="32"/>
      <c r="E465" s="32"/>
      <c r="F465" s="32"/>
      <c r="G465" s="32"/>
      <c r="H465" s="34" t="str">
        <f t="shared" si="14"/>
        <v/>
      </c>
      <c r="I465" s="35">
        <f t="shared" si="15"/>
        <v>0</v>
      </c>
      <c r="J465" s="33"/>
    </row>
    <row r="466" spans="1:10" x14ac:dyDescent="0.25">
      <c r="A466" s="30"/>
      <c r="B466" s="31"/>
      <c r="C466" s="31"/>
      <c r="D466" s="30"/>
      <c r="E466" s="30"/>
      <c r="F466" s="30"/>
      <c r="G466" s="30"/>
      <c r="H466" s="19" t="str">
        <f t="shared" si="14"/>
        <v/>
      </c>
      <c r="I466" s="28">
        <f t="shared" si="15"/>
        <v>0</v>
      </c>
      <c r="J466" s="31"/>
    </row>
    <row r="467" spans="1:10" x14ac:dyDescent="0.25">
      <c r="A467" s="32"/>
      <c r="B467" s="33"/>
      <c r="C467" s="33"/>
      <c r="D467" s="32"/>
      <c r="E467" s="32"/>
      <c r="F467" s="32"/>
      <c r="G467" s="32"/>
      <c r="H467" s="34" t="str">
        <f t="shared" si="14"/>
        <v/>
      </c>
      <c r="I467" s="35">
        <f t="shared" si="15"/>
        <v>0</v>
      </c>
      <c r="J467" s="33"/>
    </row>
    <row r="468" spans="1:10" x14ac:dyDescent="0.25">
      <c r="A468" s="30"/>
      <c r="B468" s="31"/>
      <c r="C468" s="31"/>
      <c r="D468" s="30"/>
      <c r="E468" s="30"/>
      <c r="F468" s="30"/>
      <c r="G468" s="30"/>
      <c r="H468" s="19" t="str">
        <f t="shared" si="14"/>
        <v/>
      </c>
      <c r="I468" s="28">
        <f t="shared" si="15"/>
        <v>0</v>
      </c>
      <c r="J468" s="31"/>
    </row>
    <row r="469" spans="1:10" x14ac:dyDescent="0.25">
      <c r="A469" s="32"/>
      <c r="B469" s="33"/>
      <c r="C469" s="33"/>
      <c r="D469" s="32"/>
      <c r="E469" s="32"/>
      <c r="F469" s="32"/>
      <c r="G469" s="32"/>
      <c r="H469" s="34" t="str">
        <f t="shared" si="14"/>
        <v/>
      </c>
      <c r="I469" s="35">
        <f t="shared" si="15"/>
        <v>0</v>
      </c>
      <c r="J469" s="33"/>
    </row>
    <row r="470" spans="1:10" x14ac:dyDescent="0.25">
      <c r="A470" s="30"/>
      <c r="B470" s="31"/>
      <c r="C470" s="31"/>
      <c r="D470" s="30"/>
      <c r="E470" s="30"/>
      <c r="F470" s="30"/>
      <c r="G470" s="30"/>
      <c r="H470" s="19" t="str">
        <f t="shared" si="14"/>
        <v/>
      </c>
      <c r="I470" s="28">
        <f t="shared" si="15"/>
        <v>0</v>
      </c>
      <c r="J470" s="31"/>
    </row>
    <row r="471" spans="1:10" x14ac:dyDescent="0.25">
      <c r="A471" s="32"/>
      <c r="B471" s="33"/>
      <c r="C471" s="33"/>
      <c r="D471" s="32"/>
      <c r="E471" s="32"/>
      <c r="F471" s="32"/>
      <c r="G471" s="32"/>
      <c r="H471" s="34" t="str">
        <f t="shared" si="14"/>
        <v/>
      </c>
      <c r="I471" s="35">
        <f t="shared" si="15"/>
        <v>0</v>
      </c>
      <c r="J471" s="33"/>
    </row>
    <row r="472" spans="1:10" x14ac:dyDescent="0.25">
      <c r="A472" s="30"/>
      <c r="B472" s="31"/>
      <c r="C472" s="31"/>
      <c r="D472" s="30"/>
      <c r="E472" s="30"/>
      <c r="F472" s="30"/>
      <c r="G472" s="30"/>
      <c r="H472" s="19" t="str">
        <f t="shared" si="14"/>
        <v/>
      </c>
      <c r="I472" s="28">
        <f t="shared" si="15"/>
        <v>0</v>
      </c>
      <c r="J472" s="31"/>
    </row>
    <row r="473" spans="1:10" x14ac:dyDescent="0.25">
      <c r="A473" s="32"/>
      <c r="B473" s="33"/>
      <c r="C473" s="33"/>
      <c r="D473" s="32"/>
      <c r="E473" s="32"/>
      <c r="F473" s="32"/>
      <c r="G473" s="32"/>
      <c r="H473" s="34" t="str">
        <f t="shared" si="14"/>
        <v/>
      </c>
      <c r="I473" s="35">
        <f t="shared" si="15"/>
        <v>0</v>
      </c>
      <c r="J473" s="33"/>
    </row>
    <row r="474" spans="1:10" x14ac:dyDescent="0.25">
      <c r="A474" s="30"/>
      <c r="B474" s="31"/>
      <c r="C474" s="31"/>
      <c r="D474" s="30"/>
      <c r="E474" s="30"/>
      <c r="F474" s="30"/>
      <c r="G474" s="30"/>
      <c r="H474" s="19" t="str">
        <f t="shared" si="14"/>
        <v/>
      </c>
      <c r="I474" s="28">
        <f t="shared" si="15"/>
        <v>0</v>
      </c>
      <c r="J474" s="31"/>
    </row>
    <row r="475" spans="1:10" x14ac:dyDescent="0.25">
      <c r="A475" s="32"/>
      <c r="B475" s="33"/>
      <c r="C475" s="33"/>
      <c r="D475" s="32"/>
      <c r="E475" s="32"/>
      <c r="F475" s="32"/>
      <c r="G475" s="32"/>
      <c r="H475" s="34" t="str">
        <f t="shared" si="14"/>
        <v/>
      </c>
      <c r="I475" s="35">
        <f t="shared" si="15"/>
        <v>0</v>
      </c>
      <c r="J475" s="33"/>
    </row>
    <row r="476" spans="1:10" x14ac:dyDescent="0.25">
      <c r="A476" s="30"/>
      <c r="B476" s="31"/>
      <c r="C476" s="31"/>
      <c r="D476" s="30"/>
      <c r="E476" s="30"/>
      <c r="F476" s="30"/>
      <c r="G476" s="30"/>
      <c r="H476" s="19" t="str">
        <f t="shared" si="14"/>
        <v/>
      </c>
      <c r="I476" s="28">
        <f t="shared" si="15"/>
        <v>0</v>
      </c>
      <c r="J476" s="31"/>
    </row>
    <row r="477" spans="1:10" x14ac:dyDescent="0.25">
      <c r="A477" s="32"/>
      <c r="B477" s="33"/>
      <c r="C477" s="33"/>
      <c r="D477" s="32"/>
      <c r="E477" s="32"/>
      <c r="F477" s="32"/>
      <c r="G477" s="32"/>
      <c r="H477" s="34" t="str">
        <f t="shared" si="14"/>
        <v/>
      </c>
      <c r="I477" s="35">
        <f t="shared" si="15"/>
        <v>0</v>
      </c>
      <c r="J477" s="33"/>
    </row>
    <row r="478" spans="1:10" x14ac:dyDescent="0.25">
      <c r="A478" s="30"/>
      <c r="B478" s="31"/>
      <c r="C478" s="31"/>
      <c r="D478" s="30"/>
      <c r="E478" s="30"/>
      <c r="F478" s="30"/>
      <c r="G478" s="30"/>
      <c r="H478" s="19" t="str">
        <f t="shared" si="14"/>
        <v/>
      </c>
      <c r="I478" s="28">
        <f t="shared" si="15"/>
        <v>0</v>
      </c>
      <c r="J478" s="31"/>
    </row>
    <row r="479" spans="1:10" x14ac:dyDescent="0.25">
      <c r="A479" s="32"/>
      <c r="B479" s="33"/>
      <c r="C479" s="33"/>
      <c r="D479" s="32"/>
      <c r="E479" s="32"/>
      <c r="F479" s="32"/>
      <c r="G479" s="32"/>
      <c r="H479" s="34" t="str">
        <f t="shared" si="14"/>
        <v/>
      </c>
      <c r="I479" s="35">
        <f t="shared" si="15"/>
        <v>0</v>
      </c>
      <c r="J479" s="33"/>
    </row>
    <row r="480" spans="1:10" x14ac:dyDescent="0.25">
      <c r="A480" s="30"/>
      <c r="B480" s="31"/>
      <c r="C480" s="31"/>
      <c r="D480" s="30"/>
      <c r="E480" s="30"/>
      <c r="F480" s="30"/>
      <c r="G480" s="30"/>
      <c r="H480" s="19" t="str">
        <f t="shared" si="14"/>
        <v/>
      </c>
      <c r="I480" s="28">
        <f t="shared" si="15"/>
        <v>0</v>
      </c>
      <c r="J480" s="31"/>
    </row>
    <row r="481" spans="1:10" x14ac:dyDescent="0.25">
      <c r="A481" s="32"/>
      <c r="B481" s="33"/>
      <c r="C481" s="33"/>
      <c r="D481" s="32"/>
      <c r="E481" s="32"/>
      <c r="F481" s="32"/>
      <c r="G481" s="32"/>
      <c r="H481" s="34" t="str">
        <f t="shared" si="14"/>
        <v/>
      </c>
      <c r="I481" s="35">
        <f t="shared" si="15"/>
        <v>0</v>
      </c>
      <c r="J481" s="33"/>
    </row>
    <row r="482" spans="1:10" x14ac:dyDescent="0.25">
      <c r="A482" s="30"/>
      <c r="B482" s="31"/>
      <c r="C482" s="31"/>
      <c r="D482" s="30"/>
      <c r="E482" s="30"/>
      <c r="F482" s="30"/>
      <c r="G482" s="30"/>
      <c r="H482" s="19" t="str">
        <f t="shared" si="14"/>
        <v/>
      </c>
      <c r="I482" s="28">
        <f t="shared" si="15"/>
        <v>0</v>
      </c>
      <c r="J482" s="31"/>
    </row>
    <row r="483" spans="1:10" x14ac:dyDescent="0.25">
      <c r="A483" s="32"/>
      <c r="B483" s="33"/>
      <c r="C483" s="33"/>
      <c r="D483" s="32"/>
      <c r="E483" s="32"/>
      <c r="F483" s="32"/>
      <c r="G483" s="32"/>
      <c r="H483" s="34" t="str">
        <f t="shared" si="14"/>
        <v/>
      </c>
      <c r="I483" s="35">
        <f t="shared" si="15"/>
        <v>0</v>
      </c>
      <c r="J483" s="33"/>
    </row>
    <row r="484" spans="1:10" x14ac:dyDescent="0.25">
      <c r="A484" s="30"/>
      <c r="B484" s="31"/>
      <c r="C484" s="31"/>
      <c r="D484" s="30"/>
      <c r="E484" s="30"/>
      <c r="F484" s="30"/>
      <c r="G484" s="30"/>
      <c r="H484" s="19" t="str">
        <f t="shared" si="14"/>
        <v/>
      </c>
      <c r="I484" s="28">
        <f t="shared" si="15"/>
        <v>0</v>
      </c>
      <c r="J484" s="31"/>
    </row>
    <row r="485" spans="1:10" x14ac:dyDescent="0.25">
      <c r="A485" s="32"/>
      <c r="B485" s="33"/>
      <c r="C485" s="33"/>
      <c r="D485" s="32"/>
      <c r="E485" s="32"/>
      <c r="F485" s="32"/>
      <c r="G485" s="32"/>
      <c r="H485" s="34" t="str">
        <f t="shared" si="14"/>
        <v/>
      </c>
      <c r="I485" s="35">
        <f t="shared" si="15"/>
        <v>0</v>
      </c>
      <c r="J485" s="33"/>
    </row>
    <row r="486" spans="1:10" x14ac:dyDescent="0.25">
      <c r="A486" s="30"/>
      <c r="B486" s="31"/>
      <c r="C486" s="31"/>
      <c r="D486" s="30"/>
      <c r="E486" s="30"/>
      <c r="F486" s="30"/>
      <c r="G486" s="30"/>
      <c r="H486" s="19" t="str">
        <f t="shared" si="14"/>
        <v/>
      </c>
      <c r="I486" s="28">
        <f t="shared" si="15"/>
        <v>0</v>
      </c>
      <c r="J486" s="31"/>
    </row>
    <row r="487" spans="1:10" x14ac:dyDescent="0.25">
      <c r="A487" s="32"/>
      <c r="B487" s="33"/>
      <c r="C487" s="33"/>
      <c r="D487" s="32"/>
      <c r="E487" s="32"/>
      <c r="F487" s="32"/>
      <c r="G487" s="32"/>
      <c r="H487" s="34" t="str">
        <f t="shared" si="14"/>
        <v/>
      </c>
      <c r="I487" s="35">
        <f t="shared" si="15"/>
        <v>0</v>
      </c>
      <c r="J487" s="33"/>
    </row>
    <row r="488" spans="1:10" x14ac:dyDescent="0.25">
      <c r="A488" s="30"/>
      <c r="B488" s="31"/>
      <c r="C488" s="31"/>
      <c r="D488" s="30"/>
      <c r="E488" s="30"/>
      <c r="F488" s="30"/>
      <c r="G488" s="30"/>
      <c r="H488" s="19" t="str">
        <f t="shared" si="14"/>
        <v/>
      </c>
      <c r="I488" s="28">
        <f t="shared" si="15"/>
        <v>0</v>
      </c>
      <c r="J488" s="31"/>
    </row>
    <row r="489" spans="1:10" x14ac:dyDescent="0.25">
      <c r="A489" s="32"/>
      <c r="B489" s="33"/>
      <c r="C489" s="33"/>
      <c r="D489" s="32"/>
      <c r="E489" s="32"/>
      <c r="F489" s="32"/>
      <c r="G489" s="32"/>
      <c r="H489" s="34" t="str">
        <f t="shared" si="14"/>
        <v/>
      </c>
      <c r="I489" s="35">
        <f t="shared" si="15"/>
        <v>0</v>
      </c>
      <c r="J489" s="33"/>
    </row>
    <row r="490" spans="1:10" x14ac:dyDescent="0.25">
      <c r="A490" s="30"/>
      <c r="B490" s="31"/>
      <c r="C490" s="31"/>
      <c r="D490" s="30"/>
      <c r="E490" s="30"/>
      <c r="F490" s="30"/>
      <c r="G490" s="30"/>
      <c r="H490" s="19" t="str">
        <f t="shared" si="14"/>
        <v/>
      </c>
      <c r="I490" s="28">
        <f t="shared" si="15"/>
        <v>0</v>
      </c>
      <c r="J490" s="31"/>
    </row>
    <row r="491" spans="1:10" x14ac:dyDescent="0.25">
      <c r="A491" s="32"/>
      <c r="B491" s="33"/>
      <c r="C491" s="33"/>
      <c r="D491" s="32"/>
      <c r="E491" s="32"/>
      <c r="F491" s="32"/>
      <c r="G491" s="32"/>
      <c r="H491" s="34" t="str">
        <f t="shared" si="14"/>
        <v/>
      </c>
      <c r="I491" s="35">
        <f t="shared" si="15"/>
        <v>0</v>
      </c>
      <c r="J491" s="33"/>
    </row>
    <row r="492" spans="1:10" x14ac:dyDescent="0.25">
      <c r="A492" s="30"/>
      <c r="B492" s="31"/>
      <c r="C492" s="31"/>
      <c r="D492" s="30"/>
      <c r="E492" s="30"/>
      <c r="F492" s="30"/>
      <c r="G492" s="30"/>
      <c r="H492" s="19" t="str">
        <f t="shared" si="14"/>
        <v/>
      </c>
      <c r="I492" s="28">
        <f t="shared" si="15"/>
        <v>0</v>
      </c>
      <c r="J492" s="31"/>
    </row>
    <row r="493" spans="1:10" x14ac:dyDescent="0.25">
      <c r="A493" s="32"/>
      <c r="B493" s="33"/>
      <c r="C493" s="33"/>
      <c r="D493" s="32"/>
      <c r="E493" s="32"/>
      <c r="F493" s="32"/>
      <c r="G493" s="32"/>
      <c r="H493" s="34" t="str">
        <f t="shared" si="14"/>
        <v/>
      </c>
      <c r="I493" s="35">
        <f t="shared" si="15"/>
        <v>0</v>
      </c>
      <c r="J493" s="33"/>
    </row>
    <row r="494" spans="1:10" x14ac:dyDescent="0.25">
      <c r="A494" s="30"/>
      <c r="B494" s="31"/>
      <c r="C494" s="31"/>
      <c r="D494" s="30"/>
      <c r="E494" s="30"/>
      <c r="F494" s="30"/>
      <c r="G494" s="30"/>
      <c r="H494" s="19" t="str">
        <f t="shared" si="14"/>
        <v/>
      </c>
      <c r="I494" s="28">
        <f t="shared" si="15"/>
        <v>0</v>
      </c>
      <c r="J494" s="31"/>
    </row>
    <row r="495" spans="1:10" x14ac:dyDescent="0.25">
      <c r="A495" s="32"/>
      <c r="B495" s="33"/>
      <c r="C495" s="33"/>
      <c r="D495" s="32"/>
      <c r="E495" s="32"/>
      <c r="F495" s="32"/>
      <c r="G495" s="32"/>
      <c r="H495" s="34" t="str">
        <f t="shared" si="14"/>
        <v/>
      </c>
      <c r="I495" s="35">
        <f t="shared" si="15"/>
        <v>0</v>
      </c>
      <c r="J495" s="33"/>
    </row>
    <row r="496" spans="1:10" x14ac:dyDescent="0.25">
      <c r="A496" s="30"/>
      <c r="B496" s="31"/>
      <c r="C496" s="31"/>
      <c r="D496" s="30"/>
      <c r="E496" s="30"/>
      <c r="F496" s="30"/>
      <c r="G496" s="30"/>
      <c r="H496" s="19" t="str">
        <f t="shared" si="14"/>
        <v/>
      </c>
      <c r="I496" s="28">
        <f t="shared" si="15"/>
        <v>0</v>
      </c>
      <c r="J496" s="31"/>
    </row>
    <row r="497" spans="1:10" x14ac:dyDescent="0.25">
      <c r="A497" s="32"/>
      <c r="B497" s="33"/>
      <c r="C497" s="33"/>
      <c r="D497" s="32"/>
      <c r="E497" s="32"/>
      <c r="F497" s="32"/>
      <c r="G497" s="32"/>
      <c r="H497" s="34" t="str">
        <f t="shared" si="14"/>
        <v/>
      </c>
      <c r="I497" s="35">
        <f t="shared" si="15"/>
        <v>0</v>
      </c>
      <c r="J497" s="33"/>
    </row>
    <row r="498" spans="1:10" x14ac:dyDescent="0.25">
      <c r="A498" s="30"/>
      <c r="B498" s="31"/>
      <c r="C498" s="31"/>
      <c r="D498" s="30"/>
      <c r="E498" s="30"/>
      <c r="F498" s="30"/>
      <c r="G498" s="30"/>
      <c r="H498" s="19" t="str">
        <f t="shared" si="14"/>
        <v/>
      </c>
      <c r="I498" s="28">
        <f t="shared" si="15"/>
        <v>0</v>
      </c>
      <c r="J498" s="31"/>
    </row>
    <row r="499" spans="1:10" x14ac:dyDescent="0.25">
      <c r="A499" s="32"/>
      <c r="B499" s="33"/>
      <c r="C499" s="33"/>
      <c r="D499" s="32"/>
      <c r="E499" s="32"/>
      <c r="F499" s="32"/>
      <c r="G499" s="32"/>
      <c r="H499" s="34" t="str">
        <f t="shared" si="14"/>
        <v/>
      </c>
      <c r="I499" s="35">
        <f t="shared" si="15"/>
        <v>0</v>
      </c>
      <c r="J499" s="33"/>
    </row>
  </sheetData>
  <dataValidations count="2">
    <dataValidation type="list" sqref="B2:B500" xr:uid="{00000000-0002-0000-0400-000000000000}">
      <formula1>"Língua Portuguesa,História do Brasil,História do Maranhão,Geografia do Brasil,Geografia do Maranhão,Legislação Pertinente à PMMA,Legislação Institucional,Noções de Informática"</formula1>
    </dataValidation>
    <dataValidation type="list" sqref="D2:D500" xr:uid="{00000000-0002-0000-0400-000001000000}">
      <formula1>"Teoria,Questões,Revisão,Simulado"</formula1>
    </dataValidation>
  </dataValidations>
  <pageMargins left="0.75" right="0.75" top="1" bottom="1" header="0.5" footer="0.5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F199"/>
  <sheetViews>
    <sheetView workbookViewId="0">
      <selection activeCell="F3" sqref="F3"/>
    </sheetView>
  </sheetViews>
  <sheetFormatPr defaultRowHeight="15" x14ac:dyDescent="0.25"/>
  <cols>
    <col min="1" max="1" width="12" customWidth="1"/>
    <col min="2" max="2" width="25" customWidth="1"/>
    <col min="3" max="3" width="35" customWidth="1"/>
    <col min="4" max="5" width="18" customWidth="1"/>
    <col min="6" max="6" width="20" customWidth="1"/>
  </cols>
  <sheetData>
    <row r="1" spans="1:6" ht="33" x14ac:dyDescent="0.25">
      <c r="A1" s="18" t="s">
        <v>37</v>
      </c>
      <c r="B1" s="18" t="s">
        <v>17</v>
      </c>
      <c r="C1" s="18" t="s">
        <v>278</v>
      </c>
      <c r="D1" s="18" t="s">
        <v>279</v>
      </c>
      <c r="E1" s="18" t="s">
        <v>280</v>
      </c>
      <c r="F1" s="18" t="s">
        <v>281</v>
      </c>
    </row>
    <row r="2" spans="1:6" x14ac:dyDescent="0.25">
      <c r="A2" s="30" t="s">
        <v>75</v>
      </c>
      <c r="B2" s="31" t="s">
        <v>21</v>
      </c>
      <c r="C2" s="30">
        <v>5</v>
      </c>
      <c r="D2" s="19">
        <f>IF(B2="Barra Fixa", IF(Dashboard!$E$5="Masculino", 4, 15), IF(B2="Meio Sugado", IF(Dashboard!$E$5="Masculino", 25, 20), IF(B2="Abdominal Remador", IF(Dashboard!$E$5="Masculino", 35, 25), IF(B2="Corrida 12 min", IF(Dashboard!$E$5="Masculino", 2200, 1900), ""))))</f>
        <v>4</v>
      </c>
      <c r="E2" s="28">
        <f t="shared" ref="E2:E33" si="0">IF(OR(C2="",D2=""), "", C2/D2)</f>
        <v>1.25</v>
      </c>
      <c r="F2" s="29" t="str">
        <f t="shared" ref="F2:F33" si="1">IF(OR(C2="",D2=""), "", IF(C2&gt;=D2, "META ALCANÇADA", "ABAIXO DA META"))</f>
        <v>META ALCANÇADA</v>
      </c>
    </row>
    <row r="3" spans="1:6" x14ac:dyDescent="0.25">
      <c r="A3" s="60">
        <v>46218</v>
      </c>
      <c r="B3" s="55" t="s">
        <v>21</v>
      </c>
      <c r="C3" s="56">
        <v>1</v>
      </c>
      <c r="D3" s="57">
        <f>IF(B3="Barra Fixa", IF(Dashboard!$E$5="Masculino", 4, 15), IF(B3="Meio Sugado", IF(Dashboard!$E$5="Masculino", 25, 20), IF(B3="Abdominal Remador", IF(Dashboard!$E$5="Masculino", 35, 25), IF(B3="Corrida 12 min", IF(Dashboard!$E$5="Masculino", 2200, 1900), ""))))</f>
        <v>4</v>
      </c>
      <c r="E3" s="58">
        <f>IF(OR(C3="\n",D3=""), "", C3/D3)</f>
        <v>0.25</v>
      </c>
      <c r="F3" s="59" t="str">
        <f>IF(OR(C3="\n",D3=""), "", IF(C3&gt;=D3, "META ALCANCADA", "ABAIXO DA META"))</f>
        <v>ABAIXO DA META</v>
      </c>
    </row>
    <row r="4" spans="1:6" x14ac:dyDescent="0.25">
      <c r="A4" s="66">
        <v>46218</v>
      </c>
      <c r="B4" s="61" t="s">
        <v>289</v>
      </c>
      <c r="C4" s="62">
        <v>10</v>
      </c>
      <c r="D4" s="63">
        <f>IF(B4="Barra Fixa", IF(Dashboard!$E$5="Masculino", 4, 15), IF(B4="Meio Sugado", IF(Dashboard!$E$5="Masculino", 25, 20), IF(B4="Abdominal Remador", IF(Dashboard!$E$5="Masculino", 35, 25), IF(B4="Corrida 12 min", IF(Dashboard!$E$5="Masculino", 2200, 1900), ""))))</f>
        <v>25</v>
      </c>
      <c r="E4" s="64">
        <f>IF(OR(C4="\n",D4=""), "", C4/D4)</f>
        <v>0.4</v>
      </c>
      <c r="F4" s="65" t="str">
        <f>IF(OR(C4="\n",D4=""), "", IF(C4&gt;=D4, "META ALCANCADA", "ABAIXO DA META"))</f>
        <v>ABAIXO DA META</v>
      </c>
    </row>
    <row r="5" spans="1:6" x14ac:dyDescent="0.25">
      <c r="A5" s="32"/>
      <c r="B5" s="33"/>
      <c r="C5" s="32"/>
      <c r="D5" s="34" t="str">
        <f>IF(B5="Barra Fixa", IF(Dashboard!$E$5="Masculino", 4, 15), IF(B5="Meio Sugado", IF(Dashboard!$E$5="Masculino", 25, 20), IF(B5="Abdominal Remador", IF(Dashboard!$E$5="Masculino", 35, 25), IF(B5="Corrida 12 min", IF(Dashboard!$E$5="Masculino", 2200, 1900), ""))))</f>
        <v/>
      </c>
      <c r="E5" s="35" t="str">
        <f t="shared" si="0"/>
        <v/>
      </c>
      <c r="F5" s="36" t="str">
        <f t="shared" si="1"/>
        <v/>
      </c>
    </row>
    <row r="6" spans="1:6" x14ac:dyDescent="0.25">
      <c r="A6" s="30"/>
      <c r="B6" s="31"/>
      <c r="C6" s="30"/>
      <c r="D6" s="19" t="str">
        <f>IF(B6="Barra Fixa", IF(Dashboard!$E$5="Masculino", 4, 15), IF(B6="Meio Sugado", IF(Dashboard!$E$5="Masculino", 25, 20), IF(B6="Abdominal Remador", IF(Dashboard!$E$5="Masculino", 35, 25), IF(B6="Corrida 12 min", IF(Dashboard!$E$5="Masculino", 2200, 1900), ""))))</f>
        <v/>
      </c>
      <c r="E6" s="28" t="str">
        <f t="shared" si="0"/>
        <v/>
      </c>
      <c r="F6" s="29" t="str">
        <f t="shared" si="1"/>
        <v/>
      </c>
    </row>
    <row r="7" spans="1:6" x14ac:dyDescent="0.25">
      <c r="A7" s="32"/>
      <c r="B7" s="33"/>
      <c r="C7" s="32"/>
      <c r="D7" s="34" t="str">
        <f>IF(B7="Barra Fixa", IF(Dashboard!$E$5="Masculino", 4, 15), IF(B7="Meio Sugado", IF(Dashboard!$E$5="Masculino", 25, 20), IF(B7="Abdominal Remador", IF(Dashboard!$E$5="Masculino", 35, 25), IF(B7="Corrida 12 min", IF(Dashboard!$E$5="Masculino", 2200, 1900), ""))))</f>
        <v/>
      </c>
      <c r="E7" s="35" t="str">
        <f t="shared" si="0"/>
        <v/>
      </c>
      <c r="F7" s="36" t="str">
        <f t="shared" si="1"/>
        <v/>
      </c>
    </row>
    <row r="8" spans="1:6" x14ac:dyDescent="0.25">
      <c r="A8" s="30"/>
      <c r="B8" s="31"/>
      <c r="C8" s="30"/>
      <c r="D8" s="19" t="str">
        <f>IF(B8="Barra Fixa", IF(Dashboard!$E$5="Masculino", 4, 15), IF(B8="Meio Sugado", IF(Dashboard!$E$5="Masculino", 25, 20), IF(B8="Abdominal Remador", IF(Dashboard!$E$5="Masculino", 35, 25), IF(B8="Corrida 12 min", IF(Dashboard!$E$5="Masculino", 2200, 1900), ""))))</f>
        <v/>
      </c>
      <c r="E8" s="28" t="str">
        <f t="shared" si="0"/>
        <v/>
      </c>
      <c r="F8" s="29" t="str">
        <f t="shared" si="1"/>
        <v/>
      </c>
    </row>
    <row r="9" spans="1:6" x14ac:dyDescent="0.25">
      <c r="A9" s="32"/>
      <c r="B9" s="33"/>
      <c r="C9" s="32"/>
      <c r="D9" s="34" t="str">
        <f>IF(B9="Barra Fixa", IF(Dashboard!$E$5="Masculino", 4, 15), IF(B9="Meio Sugado", IF(Dashboard!$E$5="Masculino", 25, 20), IF(B9="Abdominal Remador", IF(Dashboard!$E$5="Masculino", 35, 25), IF(B9="Corrida 12 min", IF(Dashboard!$E$5="Masculino", 2200, 1900), ""))))</f>
        <v/>
      </c>
      <c r="E9" s="35" t="str">
        <f t="shared" si="0"/>
        <v/>
      </c>
      <c r="F9" s="36" t="str">
        <f t="shared" si="1"/>
        <v/>
      </c>
    </row>
    <row r="10" spans="1:6" x14ac:dyDescent="0.25">
      <c r="A10" s="30"/>
      <c r="B10" s="31"/>
      <c r="C10" s="30"/>
      <c r="D10" s="19" t="str">
        <f>IF(B10="Barra Fixa", IF(Dashboard!$E$5="Masculino", 4, 15), IF(B10="Meio Sugado", IF(Dashboard!$E$5="Masculino", 25, 20), IF(B10="Abdominal Remador", IF(Dashboard!$E$5="Masculino", 35, 25), IF(B10="Corrida 12 min", IF(Dashboard!$E$5="Masculino", 2200, 1900), ""))))</f>
        <v/>
      </c>
      <c r="E10" s="28" t="str">
        <f t="shared" si="0"/>
        <v/>
      </c>
      <c r="F10" s="29" t="str">
        <f t="shared" si="1"/>
        <v/>
      </c>
    </row>
    <row r="11" spans="1:6" x14ac:dyDescent="0.25">
      <c r="A11" s="32"/>
      <c r="B11" s="33"/>
      <c r="C11" s="32"/>
      <c r="D11" s="34" t="str">
        <f>IF(B11="Barra Fixa", IF(Dashboard!$E$5="Masculino", 4, 15), IF(B11="Meio Sugado", IF(Dashboard!$E$5="Masculino", 25, 20), IF(B11="Abdominal Remador", IF(Dashboard!$E$5="Masculino", 35, 25), IF(B11="Corrida 12 min", IF(Dashboard!$E$5="Masculino", 2200, 1900), ""))))</f>
        <v/>
      </c>
      <c r="E11" s="35" t="str">
        <f t="shared" si="0"/>
        <v/>
      </c>
      <c r="F11" s="36" t="str">
        <f t="shared" si="1"/>
        <v/>
      </c>
    </row>
    <row r="12" spans="1:6" x14ac:dyDescent="0.25">
      <c r="A12" s="30"/>
      <c r="B12" s="31"/>
      <c r="C12" s="30"/>
      <c r="D12" s="19" t="str">
        <f>IF(B12="Barra Fixa", IF(Dashboard!$E$5="Masculino", 4, 15), IF(B12="Meio Sugado", IF(Dashboard!$E$5="Masculino", 25, 20), IF(B12="Abdominal Remador", IF(Dashboard!$E$5="Masculino", 35, 25), IF(B12="Corrida 12 min", IF(Dashboard!$E$5="Masculino", 2200, 1900), ""))))</f>
        <v/>
      </c>
      <c r="E12" s="28" t="str">
        <f t="shared" si="0"/>
        <v/>
      </c>
      <c r="F12" s="29" t="str">
        <f t="shared" si="1"/>
        <v/>
      </c>
    </row>
    <row r="13" spans="1:6" x14ac:dyDescent="0.25">
      <c r="A13" s="32"/>
      <c r="B13" s="33"/>
      <c r="C13" s="32"/>
      <c r="D13" s="34" t="str">
        <f>IF(B13="Barra Fixa", IF(Dashboard!$E$5="Masculino", 4, 15), IF(B13="Meio Sugado", IF(Dashboard!$E$5="Masculino", 25, 20), IF(B13="Abdominal Remador", IF(Dashboard!$E$5="Masculino", 35, 25), IF(B13="Corrida 12 min", IF(Dashboard!$E$5="Masculino", 2200, 1900), ""))))</f>
        <v/>
      </c>
      <c r="E13" s="35" t="str">
        <f t="shared" si="0"/>
        <v/>
      </c>
      <c r="F13" s="36" t="str">
        <f t="shared" si="1"/>
        <v/>
      </c>
    </row>
    <row r="14" spans="1:6" x14ac:dyDescent="0.25">
      <c r="A14" s="30"/>
      <c r="B14" s="31"/>
      <c r="C14" s="30"/>
      <c r="D14" s="19" t="str">
        <f>IF(B14="Barra Fixa", IF(Dashboard!$E$5="Masculino", 4, 15), IF(B14="Meio Sugado", IF(Dashboard!$E$5="Masculino", 25, 20), IF(B14="Abdominal Remador", IF(Dashboard!$E$5="Masculino", 35, 25), IF(B14="Corrida 12 min", IF(Dashboard!$E$5="Masculino", 2200, 1900), ""))))</f>
        <v/>
      </c>
      <c r="E14" s="28" t="str">
        <f t="shared" si="0"/>
        <v/>
      </c>
      <c r="F14" s="29" t="str">
        <f t="shared" si="1"/>
        <v/>
      </c>
    </row>
    <row r="15" spans="1:6" x14ac:dyDescent="0.25">
      <c r="A15" s="32"/>
      <c r="B15" s="33"/>
      <c r="C15" s="32"/>
      <c r="D15" s="34" t="str">
        <f>IF(B15="Barra Fixa", IF(Dashboard!$E$5="Masculino", 4, 15), IF(B15="Meio Sugado", IF(Dashboard!$E$5="Masculino", 25, 20), IF(B15="Abdominal Remador", IF(Dashboard!$E$5="Masculino", 35, 25), IF(B15="Corrida 12 min", IF(Dashboard!$E$5="Masculino", 2200, 1900), ""))))</f>
        <v/>
      </c>
      <c r="E15" s="35" t="str">
        <f t="shared" si="0"/>
        <v/>
      </c>
      <c r="F15" s="36" t="str">
        <f t="shared" si="1"/>
        <v/>
      </c>
    </row>
    <row r="16" spans="1:6" x14ac:dyDescent="0.25">
      <c r="A16" s="30"/>
      <c r="B16" s="31"/>
      <c r="C16" s="30"/>
      <c r="D16" s="19" t="str">
        <f>IF(B16="Barra Fixa", IF(Dashboard!$E$5="Masculino", 4, 15), IF(B16="Meio Sugado", IF(Dashboard!$E$5="Masculino", 25, 20), IF(B16="Abdominal Remador", IF(Dashboard!$E$5="Masculino", 35, 25), IF(B16="Corrida 12 min", IF(Dashboard!$E$5="Masculino", 2200, 1900), ""))))</f>
        <v/>
      </c>
      <c r="E16" s="28" t="str">
        <f t="shared" si="0"/>
        <v/>
      </c>
      <c r="F16" s="29" t="str">
        <f t="shared" si="1"/>
        <v/>
      </c>
    </row>
    <row r="17" spans="1:6" x14ac:dyDescent="0.25">
      <c r="A17" s="32"/>
      <c r="B17" s="33"/>
      <c r="C17" s="32"/>
      <c r="D17" s="34" t="str">
        <f>IF(B17="Barra Fixa", IF(Dashboard!$E$5="Masculino", 4, 15), IF(B17="Meio Sugado", IF(Dashboard!$E$5="Masculino", 25, 20), IF(B17="Abdominal Remador", IF(Dashboard!$E$5="Masculino", 35, 25), IF(B17="Corrida 12 min", IF(Dashboard!$E$5="Masculino", 2200, 1900), ""))))</f>
        <v/>
      </c>
      <c r="E17" s="35" t="str">
        <f t="shared" si="0"/>
        <v/>
      </c>
      <c r="F17" s="36" t="str">
        <f t="shared" si="1"/>
        <v/>
      </c>
    </row>
    <row r="18" spans="1:6" x14ac:dyDescent="0.25">
      <c r="A18" s="30"/>
      <c r="B18" s="31"/>
      <c r="C18" s="30"/>
      <c r="D18" s="19" t="str">
        <f>IF(B18="Barra Fixa", IF(Dashboard!$E$5="Masculino", 4, 15), IF(B18="Meio Sugado", IF(Dashboard!$E$5="Masculino", 25, 20), IF(B18="Abdominal Remador", IF(Dashboard!$E$5="Masculino", 35, 25), IF(B18="Corrida 12 min", IF(Dashboard!$E$5="Masculino", 2200, 1900), ""))))</f>
        <v/>
      </c>
      <c r="E18" s="28" t="str">
        <f t="shared" si="0"/>
        <v/>
      </c>
      <c r="F18" s="29" t="str">
        <f t="shared" si="1"/>
        <v/>
      </c>
    </row>
    <row r="19" spans="1:6" x14ac:dyDescent="0.25">
      <c r="A19" s="32"/>
      <c r="B19" s="33"/>
      <c r="C19" s="32"/>
      <c r="D19" s="34" t="str">
        <f>IF(B19="Barra Fixa", IF(Dashboard!$E$5="Masculino", 4, 15), IF(B19="Meio Sugado", IF(Dashboard!$E$5="Masculino", 25, 20), IF(B19="Abdominal Remador", IF(Dashboard!$E$5="Masculino", 35, 25), IF(B19="Corrida 12 min", IF(Dashboard!$E$5="Masculino", 2200, 1900), ""))))</f>
        <v/>
      </c>
      <c r="E19" s="35" t="str">
        <f t="shared" si="0"/>
        <v/>
      </c>
      <c r="F19" s="36" t="str">
        <f t="shared" si="1"/>
        <v/>
      </c>
    </row>
    <row r="20" spans="1:6" x14ac:dyDescent="0.25">
      <c r="A20" s="30"/>
      <c r="B20" s="31"/>
      <c r="C20" s="30"/>
      <c r="D20" s="19" t="str">
        <f>IF(B20="Barra Fixa", IF(Dashboard!$E$5="Masculino", 4, 15), IF(B20="Meio Sugado", IF(Dashboard!$E$5="Masculino", 25, 20), IF(B20="Abdominal Remador", IF(Dashboard!$E$5="Masculino", 35, 25), IF(B20="Corrida 12 min", IF(Dashboard!$E$5="Masculino", 2200, 1900), ""))))</f>
        <v/>
      </c>
      <c r="E20" s="28" t="str">
        <f t="shared" si="0"/>
        <v/>
      </c>
      <c r="F20" s="29" t="str">
        <f t="shared" si="1"/>
        <v/>
      </c>
    </row>
    <row r="21" spans="1:6" x14ac:dyDescent="0.25">
      <c r="A21" s="32"/>
      <c r="B21" s="33"/>
      <c r="C21" s="32"/>
      <c r="D21" s="34" t="str">
        <f>IF(B21="Barra Fixa", IF(Dashboard!$E$5="Masculino", 4, 15), IF(B21="Meio Sugado", IF(Dashboard!$E$5="Masculino", 25, 20), IF(B21="Abdominal Remador", IF(Dashboard!$E$5="Masculino", 35, 25), IF(B21="Corrida 12 min", IF(Dashboard!$E$5="Masculino", 2200, 1900), ""))))</f>
        <v/>
      </c>
      <c r="E21" s="35" t="str">
        <f t="shared" si="0"/>
        <v/>
      </c>
      <c r="F21" s="36" t="str">
        <f t="shared" si="1"/>
        <v/>
      </c>
    </row>
    <row r="22" spans="1:6" x14ac:dyDescent="0.25">
      <c r="A22" s="30"/>
      <c r="B22" s="31"/>
      <c r="C22" s="30"/>
      <c r="D22" s="19" t="str">
        <f>IF(B22="Barra Fixa", IF(Dashboard!$E$5="Masculino", 4, 15), IF(B22="Meio Sugado", IF(Dashboard!$E$5="Masculino", 25, 20), IF(B22="Abdominal Remador", IF(Dashboard!$E$5="Masculino", 35, 25), IF(B22="Corrida 12 min", IF(Dashboard!$E$5="Masculino", 2200, 1900), ""))))</f>
        <v/>
      </c>
      <c r="E22" s="28" t="str">
        <f t="shared" si="0"/>
        <v/>
      </c>
      <c r="F22" s="29" t="str">
        <f t="shared" si="1"/>
        <v/>
      </c>
    </row>
    <row r="23" spans="1:6" x14ac:dyDescent="0.25">
      <c r="A23" s="32"/>
      <c r="B23" s="33"/>
      <c r="C23" s="32"/>
      <c r="D23" s="34" t="str">
        <f>IF(B23="Barra Fixa", IF(Dashboard!$E$5="Masculino", 4, 15), IF(B23="Meio Sugado", IF(Dashboard!$E$5="Masculino", 25, 20), IF(B23="Abdominal Remador", IF(Dashboard!$E$5="Masculino", 35, 25), IF(B23="Corrida 12 min", IF(Dashboard!$E$5="Masculino", 2200, 1900), ""))))</f>
        <v/>
      </c>
      <c r="E23" s="35" t="str">
        <f t="shared" si="0"/>
        <v/>
      </c>
      <c r="F23" s="36" t="str">
        <f t="shared" si="1"/>
        <v/>
      </c>
    </row>
    <row r="24" spans="1:6" x14ac:dyDescent="0.25">
      <c r="A24" s="30"/>
      <c r="B24" s="31"/>
      <c r="C24" s="30"/>
      <c r="D24" s="19" t="str">
        <f>IF(B24="Barra Fixa", IF(Dashboard!$E$5="Masculino", 4, 15), IF(B24="Meio Sugado", IF(Dashboard!$E$5="Masculino", 25, 20), IF(B24="Abdominal Remador", IF(Dashboard!$E$5="Masculino", 35, 25), IF(B24="Corrida 12 min", IF(Dashboard!$E$5="Masculino", 2200, 1900), ""))))</f>
        <v/>
      </c>
      <c r="E24" s="28" t="str">
        <f t="shared" si="0"/>
        <v/>
      </c>
      <c r="F24" s="29" t="str">
        <f t="shared" si="1"/>
        <v/>
      </c>
    </row>
    <row r="25" spans="1:6" x14ac:dyDescent="0.25">
      <c r="A25" s="32"/>
      <c r="B25" s="33"/>
      <c r="C25" s="32"/>
      <c r="D25" s="34" t="str">
        <f>IF(B25="Barra Fixa", IF(Dashboard!$E$5="Masculino", 4, 15), IF(B25="Meio Sugado", IF(Dashboard!$E$5="Masculino", 25, 20), IF(B25="Abdominal Remador", IF(Dashboard!$E$5="Masculino", 35, 25), IF(B25="Corrida 12 min", IF(Dashboard!$E$5="Masculino", 2200, 1900), ""))))</f>
        <v/>
      </c>
      <c r="E25" s="35" t="str">
        <f t="shared" si="0"/>
        <v/>
      </c>
      <c r="F25" s="36" t="str">
        <f t="shared" si="1"/>
        <v/>
      </c>
    </row>
    <row r="26" spans="1:6" x14ac:dyDescent="0.25">
      <c r="A26" s="30"/>
      <c r="B26" s="31"/>
      <c r="C26" s="30"/>
      <c r="D26" s="19" t="str">
        <f>IF(B26="Barra Fixa", IF(Dashboard!$E$5="Masculino", 4, 15), IF(B26="Meio Sugado", IF(Dashboard!$E$5="Masculino", 25, 20), IF(B26="Abdominal Remador", IF(Dashboard!$E$5="Masculino", 35, 25), IF(B26="Corrida 12 min", IF(Dashboard!$E$5="Masculino", 2200, 1900), ""))))</f>
        <v/>
      </c>
      <c r="E26" s="28" t="str">
        <f t="shared" si="0"/>
        <v/>
      </c>
      <c r="F26" s="29" t="str">
        <f t="shared" si="1"/>
        <v/>
      </c>
    </row>
    <row r="27" spans="1:6" x14ac:dyDescent="0.25">
      <c r="A27" s="32"/>
      <c r="B27" s="33"/>
      <c r="C27" s="32"/>
      <c r="D27" s="34" t="str">
        <f>IF(B27="Barra Fixa", IF(Dashboard!$E$5="Masculino", 4, 15), IF(B27="Meio Sugado", IF(Dashboard!$E$5="Masculino", 25, 20), IF(B27="Abdominal Remador", IF(Dashboard!$E$5="Masculino", 35, 25), IF(B27="Corrida 12 min", IF(Dashboard!$E$5="Masculino", 2200, 1900), ""))))</f>
        <v/>
      </c>
      <c r="E27" s="35" t="str">
        <f t="shared" si="0"/>
        <v/>
      </c>
      <c r="F27" s="36" t="str">
        <f t="shared" si="1"/>
        <v/>
      </c>
    </row>
    <row r="28" spans="1:6" x14ac:dyDescent="0.25">
      <c r="A28" s="30"/>
      <c r="B28" s="31"/>
      <c r="C28" s="30"/>
      <c r="D28" s="19" t="str">
        <f>IF(B28="Barra Fixa", IF(Dashboard!$E$5="Masculino", 4, 15), IF(B28="Meio Sugado", IF(Dashboard!$E$5="Masculino", 25, 20), IF(B28="Abdominal Remador", IF(Dashboard!$E$5="Masculino", 35, 25), IF(B28="Corrida 12 min", IF(Dashboard!$E$5="Masculino", 2200, 1900), ""))))</f>
        <v/>
      </c>
      <c r="E28" s="28" t="str">
        <f t="shared" si="0"/>
        <v/>
      </c>
      <c r="F28" s="29" t="str">
        <f t="shared" si="1"/>
        <v/>
      </c>
    </row>
    <row r="29" spans="1:6" x14ac:dyDescent="0.25">
      <c r="A29" s="32"/>
      <c r="B29" s="33"/>
      <c r="C29" s="32"/>
      <c r="D29" s="34" t="str">
        <f>IF(B29="Barra Fixa", IF(Dashboard!$E$5="Masculino", 4, 15), IF(B29="Meio Sugado", IF(Dashboard!$E$5="Masculino", 25, 20), IF(B29="Abdominal Remador", IF(Dashboard!$E$5="Masculino", 35, 25), IF(B29="Corrida 12 min", IF(Dashboard!$E$5="Masculino", 2200, 1900), ""))))</f>
        <v/>
      </c>
      <c r="E29" s="35" t="str">
        <f t="shared" si="0"/>
        <v/>
      </c>
      <c r="F29" s="36" t="str">
        <f t="shared" si="1"/>
        <v/>
      </c>
    </row>
    <row r="30" spans="1:6" x14ac:dyDescent="0.25">
      <c r="A30" s="30"/>
      <c r="B30" s="31"/>
      <c r="C30" s="30"/>
      <c r="D30" s="19" t="str">
        <f>IF(B30="Barra Fixa", IF(Dashboard!$E$5="Masculino", 4, 15), IF(B30="Meio Sugado", IF(Dashboard!$E$5="Masculino", 25, 20), IF(B30="Abdominal Remador", IF(Dashboard!$E$5="Masculino", 35, 25), IF(B30="Corrida 12 min", IF(Dashboard!$E$5="Masculino", 2200, 1900), ""))))</f>
        <v/>
      </c>
      <c r="E30" s="28" t="str">
        <f t="shared" si="0"/>
        <v/>
      </c>
      <c r="F30" s="29" t="str">
        <f t="shared" si="1"/>
        <v/>
      </c>
    </row>
    <row r="31" spans="1:6" x14ac:dyDescent="0.25">
      <c r="A31" s="32"/>
      <c r="B31" s="33"/>
      <c r="C31" s="32"/>
      <c r="D31" s="34" t="str">
        <f>IF(B31="Barra Fixa", IF(Dashboard!$E$5="Masculino", 4, 15), IF(B31="Meio Sugado", IF(Dashboard!$E$5="Masculino", 25, 20), IF(B31="Abdominal Remador", IF(Dashboard!$E$5="Masculino", 35, 25), IF(B31="Corrida 12 min", IF(Dashboard!$E$5="Masculino", 2200, 1900), ""))))</f>
        <v/>
      </c>
      <c r="E31" s="35" t="str">
        <f t="shared" si="0"/>
        <v/>
      </c>
      <c r="F31" s="36" t="str">
        <f t="shared" si="1"/>
        <v/>
      </c>
    </row>
    <row r="32" spans="1:6" x14ac:dyDescent="0.25">
      <c r="A32" s="30"/>
      <c r="B32" s="31"/>
      <c r="C32" s="30"/>
      <c r="D32" s="19" t="str">
        <f>IF(B32="Barra Fixa", IF(Dashboard!$E$5="Masculino", 4, 15), IF(B32="Meio Sugado", IF(Dashboard!$E$5="Masculino", 25, 20), IF(B32="Abdominal Remador", IF(Dashboard!$E$5="Masculino", 35, 25), IF(B32="Corrida 12 min", IF(Dashboard!$E$5="Masculino", 2200, 1900), ""))))</f>
        <v/>
      </c>
      <c r="E32" s="28" t="str">
        <f t="shared" si="0"/>
        <v/>
      </c>
      <c r="F32" s="29" t="str">
        <f t="shared" si="1"/>
        <v/>
      </c>
    </row>
    <row r="33" spans="1:6" x14ac:dyDescent="0.25">
      <c r="A33" s="32"/>
      <c r="B33" s="33"/>
      <c r="C33" s="32"/>
      <c r="D33" s="34" t="str">
        <f>IF(B33="Barra Fixa", IF(Dashboard!$E$5="Masculino", 4, 15), IF(B33="Meio Sugado", IF(Dashboard!$E$5="Masculino", 25, 20), IF(B33="Abdominal Remador", IF(Dashboard!$E$5="Masculino", 35, 25), IF(B33="Corrida 12 min", IF(Dashboard!$E$5="Masculino", 2200, 1900), ""))))</f>
        <v/>
      </c>
      <c r="E33" s="35" t="str">
        <f t="shared" si="0"/>
        <v/>
      </c>
      <c r="F33" s="36" t="str">
        <f t="shared" si="1"/>
        <v/>
      </c>
    </row>
    <row r="34" spans="1:6" x14ac:dyDescent="0.25">
      <c r="A34" s="30"/>
      <c r="B34" s="31"/>
      <c r="C34" s="30"/>
      <c r="D34" s="19" t="str">
        <f>IF(B34="Barra Fixa", IF(Dashboard!$E$5="Masculino", 4, 15), IF(B34="Meio Sugado", IF(Dashboard!$E$5="Masculino", 25, 20), IF(B34="Abdominal Remador", IF(Dashboard!$E$5="Masculino", 35, 25), IF(B34="Corrida 12 min", IF(Dashboard!$E$5="Masculino", 2200, 1900), ""))))</f>
        <v/>
      </c>
      <c r="E34" s="28" t="str">
        <f t="shared" ref="E34:E65" si="2">IF(OR(C34="",D34=""), "", C34/D34)</f>
        <v/>
      </c>
      <c r="F34" s="29" t="str">
        <f t="shared" ref="F34:F65" si="3">IF(OR(C34="",D34=""), "", IF(C34&gt;=D34, "META ALCANÇADA", "ABAIXO DA META"))</f>
        <v/>
      </c>
    </row>
    <row r="35" spans="1:6" x14ac:dyDescent="0.25">
      <c r="A35" s="32"/>
      <c r="B35" s="33"/>
      <c r="C35" s="32"/>
      <c r="D35" s="34" t="str">
        <f>IF(B35="Barra Fixa", IF(Dashboard!$E$5="Masculino", 4, 15), IF(B35="Meio Sugado", IF(Dashboard!$E$5="Masculino", 25, 20), IF(B35="Abdominal Remador", IF(Dashboard!$E$5="Masculino", 35, 25), IF(B35="Corrida 12 min", IF(Dashboard!$E$5="Masculino", 2200, 1900), ""))))</f>
        <v/>
      </c>
      <c r="E35" s="35" t="str">
        <f t="shared" si="2"/>
        <v/>
      </c>
      <c r="F35" s="36" t="str">
        <f t="shared" si="3"/>
        <v/>
      </c>
    </row>
    <row r="36" spans="1:6" x14ac:dyDescent="0.25">
      <c r="A36" s="30"/>
      <c r="B36" s="31"/>
      <c r="C36" s="30"/>
      <c r="D36" s="19" t="str">
        <f>IF(B36="Barra Fixa", IF(Dashboard!$E$5="Masculino", 4, 15), IF(B36="Meio Sugado", IF(Dashboard!$E$5="Masculino", 25, 20), IF(B36="Abdominal Remador", IF(Dashboard!$E$5="Masculino", 35, 25), IF(B36="Corrida 12 min", IF(Dashboard!$E$5="Masculino", 2200, 1900), ""))))</f>
        <v/>
      </c>
      <c r="E36" s="28" t="str">
        <f t="shared" si="2"/>
        <v/>
      </c>
      <c r="F36" s="29" t="str">
        <f t="shared" si="3"/>
        <v/>
      </c>
    </row>
    <row r="37" spans="1:6" x14ac:dyDescent="0.25">
      <c r="A37" s="32"/>
      <c r="B37" s="33"/>
      <c r="C37" s="32"/>
      <c r="D37" s="34" t="str">
        <f>IF(B37="Barra Fixa", IF(Dashboard!$E$5="Masculino", 4, 15), IF(B37="Meio Sugado", IF(Dashboard!$E$5="Masculino", 25, 20), IF(B37="Abdominal Remador", IF(Dashboard!$E$5="Masculino", 35, 25), IF(B37="Corrida 12 min", IF(Dashboard!$E$5="Masculino", 2200, 1900), ""))))</f>
        <v/>
      </c>
      <c r="E37" s="35" t="str">
        <f t="shared" si="2"/>
        <v/>
      </c>
      <c r="F37" s="36" t="str">
        <f t="shared" si="3"/>
        <v/>
      </c>
    </row>
    <row r="38" spans="1:6" x14ac:dyDescent="0.25">
      <c r="A38" s="30"/>
      <c r="B38" s="31"/>
      <c r="C38" s="30"/>
      <c r="D38" s="19" t="str">
        <f>IF(B38="Barra Fixa", IF(Dashboard!$E$5="Masculino", 4, 15), IF(B38="Meio Sugado", IF(Dashboard!$E$5="Masculino", 25, 20), IF(B38="Abdominal Remador", IF(Dashboard!$E$5="Masculino", 35, 25), IF(B38="Corrida 12 min", IF(Dashboard!$E$5="Masculino", 2200, 1900), ""))))</f>
        <v/>
      </c>
      <c r="E38" s="28" t="str">
        <f t="shared" si="2"/>
        <v/>
      </c>
      <c r="F38" s="29" t="str">
        <f t="shared" si="3"/>
        <v/>
      </c>
    </row>
    <row r="39" spans="1:6" x14ac:dyDescent="0.25">
      <c r="A39" s="32"/>
      <c r="B39" s="33"/>
      <c r="C39" s="32"/>
      <c r="D39" s="34" t="str">
        <f>IF(B39="Barra Fixa", IF(Dashboard!$E$5="Masculino", 4, 15), IF(B39="Meio Sugado", IF(Dashboard!$E$5="Masculino", 25, 20), IF(B39="Abdominal Remador", IF(Dashboard!$E$5="Masculino", 35, 25), IF(B39="Corrida 12 min", IF(Dashboard!$E$5="Masculino", 2200, 1900), ""))))</f>
        <v/>
      </c>
      <c r="E39" s="35" t="str">
        <f t="shared" si="2"/>
        <v/>
      </c>
      <c r="F39" s="36" t="str">
        <f t="shared" si="3"/>
        <v/>
      </c>
    </row>
    <row r="40" spans="1:6" x14ac:dyDescent="0.25">
      <c r="A40" s="30"/>
      <c r="B40" s="31"/>
      <c r="C40" s="30"/>
      <c r="D40" s="19" t="str">
        <f>IF(B40="Barra Fixa", IF(Dashboard!$E$5="Masculino", 4, 15), IF(B40="Meio Sugado", IF(Dashboard!$E$5="Masculino", 25, 20), IF(B40="Abdominal Remador", IF(Dashboard!$E$5="Masculino", 35, 25), IF(B40="Corrida 12 min", IF(Dashboard!$E$5="Masculino", 2200, 1900), ""))))</f>
        <v/>
      </c>
      <c r="E40" s="28" t="str">
        <f t="shared" si="2"/>
        <v/>
      </c>
      <c r="F40" s="29" t="str">
        <f t="shared" si="3"/>
        <v/>
      </c>
    </row>
    <row r="41" spans="1:6" x14ac:dyDescent="0.25">
      <c r="A41" s="32"/>
      <c r="B41" s="33"/>
      <c r="C41" s="32"/>
      <c r="D41" s="34" t="str">
        <f>IF(B41="Barra Fixa", IF(Dashboard!$E$5="Masculino", 4, 15), IF(B41="Meio Sugado", IF(Dashboard!$E$5="Masculino", 25, 20), IF(B41="Abdominal Remador", IF(Dashboard!$E$5="Masculino", 35, 25), IF(B41="Corrida 12 min", IF(Dashboard!$E$5="Masculino", 2200, 1900), ""))))</f>
        <v/>
      </c>
      <c r="E41" s="35" t="str">
        <f t="shared" si="2"/>
        <v/>
      </c>
      <c r="F41" s="36" t="str">
        <f t="shared" si="3"/>
        <v/>
      </c>
    </row>
    <row r="42" spans="1:6" x14ac:dyDescent="0.25">
      <c r="A42" s="30"/>
      <c r="B42" s="31"/>
      <c r="C42" s="30"/>
      <c r="D42" s="19" t="str">
        <f>IF(B42="Barra Fixa", IF(Dashboard!$E$5="Masculino", 4, 15), IF(B42="Meio Sugado", IF(Dashboard!$E$5="Masculino", 25, 20), IF(B42="Abdominal Remador", IF(Dashboard!$E$5="Masculino", 35, 25), IF(B42="Corrida 12 min", IF(Dashboard!$E$5="Masculino", 2200, 1900), ""))))</f>
        <v/>
      </c>
      <c r="E42" s="28" t="str">
        <f t="shared" si="2"/>
        <v/>
      </c>
      <c r="F42" s="29" t="str">
        <f t="shared" si="3"/>
        <v/>
      </c>
    </row>
    <row r="43" spans="1:6" x14ac:dyDescent="0.25">
      <c r="A43" s="32"/>
      <c r="B43" s="33"/>
      <c r="C43" s="32"/>
      <c r="D43" s="34" t="str">
        <f>IF(B43="Barra Fixa", IF(Dashboard!$E$5="Masculino", 4, 15), IF(B43="Meio Sugado", IF(Dashboard!$E$5="Masculino", 25, 20), IF(B43="Abdominal Remador", IF(Dashboard!$E$5="Masculino", 35, 25), IF(B43="Corrida 12 min", IF(Dashboard!$E$5="Masculino", 2200, 1900), ""))))</f>
        <v/>
      </c>
      <c r="E43" s="35" t="str">
        <f t="shared" si="2"/>
        <v/>
      </c>
      <c r="F43" s="36" t="str">
        <f t="shared" si="3"/>
        <v/>
      </c>
    </row>
    <row r="44" spans="1:6" x14ac:dyDescent="0.25">
      <c r="A44" s="30"/>
      <c r="B44" s="31"/>
      <c r="C44" s="30"/>
      <c r="D44" s="19" t="str">
        <f>IF(B44="Barra Fixa", IF(Dashboard!$E$5="Masculino", 4, 15), IF(B44="Meio Sugado", IF(Dashboard!$E$5="Masculino", 25, 20), IF(B44="Abdominal Remador", IF(Dashboard!$E$5="Masculino", 35, 25), IF(B44="Corrida 12 min", IF(Dashboard!$E$5="Masculino", 2200, 1900), ""))))</f>
        <v/>
      </c>
      <c r="E44" s="28" t="str">
        <f t="shared" si="2"/>
        <v/>
      </c>
      <c r="F44" s="29" t="str">
        <f t="shared" si="3"/>
        <v/>
      </c>
    </row>
    <row r="45" spans="1:6" x14ac:dyDescent="0.25">
      <c r="A45" s="32"/>
      <c r="B45" s="33"/>
      <c r="C45" s="32"/>
      <c r="D45" s="34" t="str">
        <f>IF(B45="Barra Fixa", IF(Dashboard!$E$5="Masculino", 4, 15), IF(B45="Meio Sugado", IF(Dashboard!$E$5="Masculino", 25, 20), IF(B45="Abdominal Remador", IF(Dashboard!$E$5="Masculino", 35, 25), IF(B45="Corrida 12 min", IF(Dashboard!$E$5="Masculino", 2200, 1900), ""))))</f>
        <v/>
      </c>
      <c r="E45" s="35" t="str">
        <f t="shared" si="2"/>
        <v/>
      </c>
      <c r="F45" s="36" t="str">
        <f t="shared" si="3"/>
        <v/>
      </c>
    </row>
    <row r="46" spans="1:6" x14ac:dyDescent="0.25">
      <c r="A46" s="30"/>
      <c r="B46" s="31"/>
      <c r="C46" s="30"/>
      <c r="D46" s="19" t="str">
        <f>IF(B46="Barra Fixa", IF(Dashboard!$E$5="Masculino", 4, 15), IF(B46="Meio Sugado", IF(Dashboard!$E$5="Masculino", 25, 20), IF(B46="Abdominal Remador", IF(Dashboard!$E$5="Masculino", 35, 25), IF(B46="Corrida 12 min", IF(Dashboard!$E$5="Masculino", 2200, 1900), ""))))</f>
        <v/>
      </c>
      <c r="E46" s="28" t="str">
        <f t="shared" si="2"/>
        <v/>
      </c>
      <c r="F46" s="29" t="str">
        <f t="shared" si="3"/>
        <v/>
      </c>
    </row>
    <row r="47" spans="1:6" x14ac:dyDescent="0.25">
      <c r="A47" s="32"/>
      <c r="B47" s="33"/>
      <c r="C47" s="32"/>
      <c r="D47" s="34" t="str">
        <f>IF(B47="Barra Fixa", IF(Dashboard!$E$5="Masculino", 4, 15), IF(B47="Meio Sugado", IF(Dashboard!$E$5="Masculino", 25, 20), IF(B47="Abdominal Remador", IF(Dashboard!$E$5="Masculino", 35, 25), IF(B47="Corrida 12 min", IF(Dashboard!$E$5="Masculino", 2200, 1900), ""))))</f>
        <v/>
      </c>
      <c r="E47" s="35" t="str">
        <f t="shared" si="2"/>
        <v/>
      </c>
      <c r="F47" s="36" t="str">
        <f t="shared" si="3"/>
        <v/>
      </c>
    </row>
    <row r="48" spans="1:6" x14ac:dyDescent="0.25">
      <c r="A48" s="30"/>
      <c r="B48" s="31"/>
      <c r="C48" s="30"/>
      <c r="D48" s="19" t="str">
        <f>IF(B48="Barra Fixa", IF(Dashboard!$E$5="Masculino", 4, 15), IF(B48="Meio Sugado", IF(Dashboard!$E$5="Masculino", 25, 20), IF(B48="Abdominal Remador", IF(Dashboard!$E$5="Masculino", 35, 25), IF(B48="Corrida 12 min", IF(Dashboard!$E$5="Masculino", 2200, 1900), ""))))</f>
        <v/>
      </c>
      <c r="E48" s="28" t="str">
        <f t="shared" si="2"/>
        <v/>
      </c>
      <c r="F48" s="29" t="str">
        <f t="shared" si="3"/>
        <v/>
      </c>
    </row>
    <row r="49" spans="1:6" x14ac:dyDescent="0.25">
      <c r="A49" s="32"/>
      <c r="B49" s="33"/>
      <c r="C49" s="32"/>
      <c r="D49" s="34" t="str">
        <f>IF(B49="Barra Fixa", IF(Dashboard!$E$5="Masculino", 4, 15), IF(B49="Meio Sugado", IF(Dashboard!$E$5="Masculino", 25, 20), IF(B49="Abdominal Remador", IF(Dashboard!$E$5="Masculino", 35, 25), IF(B49="Corrida 12 min", IF(Dashboard!$E$5="Masculino", 2200, 1900), ""))))</f>
        <v/>
      </c>
      <c r="E49" s="35" t="str">
        <f t="shared" si="2"/>
        <v/>
      </c>
      <c r="F49" s="36" t="str">
        <f t="shared" si="3"/>
        <v/>
      </c>
    </row>
    <row r="50" spans="1:6" x14ac:dyDescent="0.25">
      <c r="A50" s="30"/>
      <c r="B50" s="31"/>
      <c r="C50" s="30"/>
      <c r="D50" s="19" t="str">
        <f>IF(B50="Barra Fixa", IF(Dashboard!$E$5="Masculino", 4, 15), IF(B50="Meio Sugado", IF(Dashboard!$E$5="Masculino", 25, 20), IF(B50="Abdominal Remador", IF(Dashboard!$E$5="Masculino", 35, 25), IF(B50="Corrida 12 min", IF(Dashboard!$E$5="Masculino", 2200, 1900), ""))))</f>
        <v/>
      </c>
      <c r="E50" s="28" t="str">
        <f t="shared" si="2"/>
        <v/>
      </c>
      <c r="F50" s="29" t="str">
        <f t="shared" si="3"/>
        <v/>
      </c>
    </row>
    <row r="51" spans="1:6" x14ac:dyDescent="0.25">
      <c r="A51" s="32"/>
      <c r="B51" s="33"/>
      <c r="C51" s="32"/>
      <c r="D51" s="34" t="str">
        <f>IF(B51="Barra Fixa", IF(Dashboard!$E$5="Masculino", 4, 15), IF(B51="Meio Sugado", IF(Dashboard!$E$5="Masculino", 25, 20), IF(B51="Abdominal Remador", IF(Dashboard!$E$5="Masculino", 35, 25), IF(B51="Corrida 12 min", IF(Dashboard!$E$5="Masculino", 2200, 1900), ""))))</f>
        <v/>
      </c>
      <c r="E51" s="35" t="str">
        <f t="shared" si="2"/>
        <v/>
      </c>
      <c r="F51" s="36" t="str">
        <f t="shared" si="3"/>
        <v/>
      </c>
    </row>
    <row r="52" spans="1:6" x14ac:dyDescent="0.25">
      <c r="A52" s="30"/>
      <c r="B52" s="31"/>
      <c r="C52" s="30"/>
      <c r="D52" s="19" t="str">
        <f>IF(B52="Barra Fixa", IF(Dashboard!$E$5="Masculino", 4, 15), IF(B52="Meio Sugado", IF(Dashboard!$E$5="Masculino", 25, 20), IF(B52="Abdominal Remador", IF(Dashboard!$E$5="Masculino", 35, 25), IF(B52="Corrida 12 min", IF(Dashboard!$E$5="Masculino", 2200, 1900), ""))))</f>
        <v/>
      </c>
      <c r="E52" s="28" t="str">
        <f t="shared" si="2"/>
        <v/>
      </c>
      <c r="F52" s="29" t="str">
        <f t="shared" si="3"/>
        <v/>
      </c>
    </row>
    <row r="53" spans="1:6" x14ac:dyDescent="0.25">
      <c r="A53" s="32"/>
      <c r="B53" s="33"/>
      <c r="C53" s="32"/>
      <c r="D53" s="34" t="str">
        <f>IF(B53="Barra Fixa", IF(Dashboard!$E$5="Masculino", 4, 15), IF(B53="Meio Sugado", IF(Dashboard!$E$5="Masculino", 25, 20), IF(B53="Abdominal Remador", IF(Dashboard!$E$5="Masculino", 35, 25), IF(B53="Corrida 12 min", IF(Dashboard!$E$5="Masculino", 2200, 1900), ""))))</f>
        <v/>
      </c>
      <c r="E53" s="35" t="str">
        <f t="shared" si="2"/>
        <v/>
      </c>
      <c r="F53" s="36" t="str">
        <f t="shared" si="3"/>
        <v/>
      </c>
    </row>
    <row r="54" spans="1:6" x14ac:dyDescent="0.25">
      <c r="A54" s="30"/>
      <c r="B54" s="31"/>
      <c r="C54" s="30"/>
      <c r="D54" s="19" t="str">
        <f>IF(B54="Barra Fixa", IF(Dashboard!$E$5="Masculino", 4, 15), IF(B54="Meio Sugado", IF(Dashboard!$E$5="Masculino", 25, 20), IF(B54="Abdominal Remador", IF(Dashboard!$E$5="Masculino", 35, 25), IF(B54="Corrida 12 min", IF(Dashboard!$E$5="Masculino", 2200, 1900), ""))))</f>
        <v/>
      </c>
      <c r="E54" s="28" t="str">
        <f t="shared" si="2"/>
        <v/>
      </c>
      <c r="F54" s="29" t="str">
        <f t="shared" si="3"/>
        <v/>
      </c>
    </row>
    <row r="55" spans="1:6" x14ac:dyDescent="0.25">
      <c r="A55" s="32"/>
      <c r="B55" s="33"/>
      <c r="C55" s="32"/>
      <c r="D55" s="34" t="str">
        <f>IF(B55="Barra Fixa", IF(Dashboard!$E$5="Masculino", 4, 15), IF(B55="Meio Sugado", IF(Dashboard!$E$5="Masculino", 25, 20), IF(B55="Abdominal Remador", IF(Dashboard!$E$5="Masculino", 35, 25), IF(B55="Corrida 12 min", IF(Dashboard!$E$5="Masculino", 2200, 1900), ""))))</f>
        <v/>
      </c>
      <c r="E55" s="35" t="str">
        <f t="shared" si="2"/>
        <v/>
      </c>
      <c r="F55" s="36" t="str">
        <f t="shared" si="3"/>
        <v/>
      </c>
    </row>
    <row r="56" spans="1:6" x14ac:dyDescent="0.25">
      <c r="A56" s="30"/>
      <c r="B56" s="31"/>
      <c r="C56" s="30"/>
      <c r="D56" s="19" t="str">
        <f>IF(B56="Barra Fixa", IF(Dashboard!$E$5="Masculino", 4, 15), IF(B56="Meio Sugado", IF(Dashboard!$E$5="Masculino", 25, 20), IF(B56="Abdominal Remador", IF(Dashboard!$E$5="Masculino", 35, 25), IF(B56="Corrida 12 min", IF(Dashboard!$E$5="Masculino", 2200, 1900), ""))))</f>
        <v/>
      </c>
      <c r="E56" s="28" t="str">
        <f t="shared" si="2"/>
        <v/>
      </c>
      <c r="F56" s="29" t="str">
        <f t="shared" si="3"/>
        <v/>
      </c>
    </row>
    <row r="57" spans="1:6" x14ac:dyDescent="0.25">
      <c r="A57" s="32"/>
      <c r="B57" s="33"/>
      <c r="C57" s="32"/>
      <c r="D57" s="34" t="str">
        <f>IF(B57="Barra Fixa", IF(Dashboard!$E$5="Masculino", 4, 15), IF(B57="Meio Sugado", IF(Dashboard!$E$5="Masculino", 25, 20), IF(B57="Abdominal Remador", IF(Dashboard!$E$5="Masculino", 35, 25), IF(B57="Corrida 12 min", IF(Dashboard!$E$5="Masculino", 2200, 1900), ""))))</f>
        <v/>
      </c>
      <c r="E57" s="35" t="str">
        <f t="shared" si="2"/>
        <v/>
      </c>
      <c r="F57" s="36" t="str">
        <f t="shared" si="3"/>
        <v/>
      </c>
    </row>
    <row r="58" spans="1:6" x14ac:dyDescent="0.25">
      <c r="A58" s="30"/>
      <c r="B58" s="31"/>
      <c r="C58" s="30"/>
      <c r="D58" s="19" t="str">
        <f>IF(B58="Barra Fixa", IF(Dashboard!$E$5="Masculino", 4, 15), IF(B58="Meio Sugado", IF(Dashboard!$E$5="Masculino", 25, 20), IF(B58="Abdominal Remador", IF(Dashboard!$E$5="Masculino", 35, 25), IF(B58="Corrida 12 min", IF(Dashboard!$E$5="Masculino", 2200, 1900), ""))))</f>
        <v/>
      </c>
      <c r="E58" s="28" t="str">
        <f t="shared" si="2"/>
        <v/>
      </c>
      <c r="F58" s="29" t="str">
        <f t="shared" si="3"/>
        <v/>
      </c>
    </row>
    <row r="59" spans="1:6" x14ac:dyDescent="0.25">
      <c r="A59" s="32"/>
      <c r="B59" s="33"/>
      <c r="C59" s="32"/>
      <c r="D59" s="34" t="str">
        <f>IF(B59="Barra Fixa", IF(Dashboard!$E$5="Masculino", 4, 15), IF(B59="Meio Sugado", IF(Dashboard!$E$5="Masculino", 25, 20), IF(B59="Abdominal Remador", IF(Dashboard!$E$5="Masculino", 35, 25), IF(B59="Corrida 12 min", IF(Dashboard!$E$5="Masculino", 2200, 1900), ""))))</f>
        <v/>
      </c>
      <c r="E59" s="35" t="str">
        <f t="shared" si="2"/>
        <v/>
      </c>
      <c r="F59" s="36" t="str">
        <f t="shared" si="3"/>
        <v/>
      </c>
    </row>
    <row r="60" spans="1:6" x14ac:dyDescent="0.25">
      <c r="A60" s="30"/>
      <c r="B60" s="31"/>
      <c r="C60" s="30"/>
      <c r="D60" s="19" t="str">
        <f>IF(B60="Barra Fixa", IF(Dashboard!$E$5="Masculino", 4, 15), IF(B60="Meio Sugado", IF(Dashboard!$E$5="Masculino", 25, 20), IF(B60="Abdominal Remador", IF(Dashboard!$E$5="Masculino", 35, 25), IF(B60="Corrida 12 min", IF(Dashboard!$E$5="Masculino", 2200, 1900), ""))))</f>
        <v/>
      </c>
      <c r="E60" s="28" t="str">
        <f t="shared" si="2"/>
        <v/>
      </c>
      <c r="F60" s="29" t="str">
        <f t="shared" si="3"/>
        <v/>
      </c>
    </row>
    <row r="61" spans="1:6" x14ac:dyDescent="0.25">
      <c r="A61" s="32"/>
      <c r="B61" s="33"/>
      <c r="C61" s="32"/>
      <c r="D61" s="34" t="str">
        <f>IF(B61="Barra Fixa", IF(Dashboard!$E$5="Masculino", 4, 15), IF(B61="Meio Sugado", IF(Dashboard!$E$5="Masculino", 25, 20), IF(B61="Abdominal Remador", IF(Dashboard!$E$5="Masculino", 35, 25), IF(B61="Corrida 12 min", IF(Dashboard!$E$5="Masculino", 2200, 1900), ""))))</f>
        <v/>
      </c>
      <c r="E61" s="35" t="str">
        <f t="shared" si="2"/>
        <v/>
      </c>
      <c r="F61" s="36" t="str">
        <f t="shared" si="3"/>
        <v/>
      </c>
    </row>
    <row r="62" spans="1:6" x14ac:dyDescent="0.25">
      <c r="A62" s="30"/>
      <c r="B62" s="31"/>
      <c r="C62" s="30"/>
      <c r="D62" s="19" t="str">
        <f>IF(B62="Barra Fixa", IF(Dashboard!$E$5="Masculino", 4, 15), IF(B62="Meio Sugado", IF(Dashboard!$E$5="Masculino", 25, 20), IF(B62="Abdominal Remador", IF(Dashboard!$E$5="Masculino", 35, 25), IF(B62="Corrida 12 min", IF(Dashboard!$E$5="Masculino", 2200, 1900), ""))))</f>
        <v/>
      </c>
      <c r="E62" s="28" t="str">
        <f t="shared" si="2"/>
        <v/>
      </c>
      <c r="F62" s="29" t="str">
        <f t="shared" si="3"/>
        <v/>
      </c>
    </row>
    <row r="63" spans="1:6" x14ac:dyDescent="0.25">
      <c r="A63" s="32"/>
      <c r="B63" s="33"/>
      <c r="C63" s="32"/>
      <c r="D63" s="34" t="str">
        <f>IF(B63="Barra Fixa", IF(Dashboard!$E$5="Masculino", 4, 15), IF(B63="Meio Sugado", IF(Dashboard!$E$5="Masculino", 25, 20), IF(B63="Abdominal Remador", IF(Dashboard!$E$5="Masculino", 35, 25), IF(B63="Corrida 12 min", IF(Dashboard!$E$5="Masculino", 2200, 1900), ""))))</f>
        <v/>
      </c>
      <c r="E63" s="35" t="str">
        <f t="shared" si="2"/>
        <v/>
      </c>
      <c r="F63" s="36" t="str">
        <f t="shared" si="3"/>
        <v/>
      </c>
    </row>
    <row r="64" spans="1:6" x14ac:dyDescent="0.25">
      <c r="A64" s="30"/>
      <c r="B64" s="31"/>
      <c r="C64" s="30"/>
      <c r="D64" s="19" t="str">
        <f>IF(B64="Barra Fixa", IF(Dashboard!$E$5="Masculino", 4, 15), IF(B64="Meio Sugado", IF(Dashboard!$E$5="Masculino", 25, 20), IF(B64="Abdominal Remador", IF(Dashboard!$E$5="Masculino", 35, 25), IF(B64="Corrida 12 min", IF(Dashboard!$E$5="Masculino", 2200, 1900), ""))))</f>
        <v/>
      </c>
      <c r="E64" s="28" t="str">
        <f t="shared" si="2"/>
        <v/>
      </c>
      <c r="F64" s="29" t="str">
        <f t="shared" si="3"/>
        <v/>
      </c>
    </row>
    <row r="65" spans="1:6" x14ac:dyDescent="0.25">
      <c r="A65" s="32"/>
      <c r="B65" s="33"/>
      <c r="C65" s="32"/>
      <c r="D65" s="34" t="str">
        <f>IF(B65="Barra Fixa", IF(Dashboard!$E$5="Masculino", 4, 15), IF(B65="Meio Sugado", IF(Dashboard!$E$5="Masculino", 25, 20), IF(B65="Abdominal Remador", IF(Dashboard!$E$5="Masculino", 35, 25), IF(B65="Corrida 12 min", IF(Dashboard!$E$5="Masculino", 2200, 1900), ""))))</f>
        <v/>
      </c>
      <c r="E65" s="35" t="str">
        <f t="shared" si="2"/>
        <v/>
      </c>
      <c r="F65" s="36" t="str">
        <f t="shared" si="3"/>
        <v/>
      </c>
    </row>
    <row r="66" spans="1:6" x14ac:dyDescent="0.25">
      <c r="A66" s="30"/>
      <c r="B66" s="31"/>
      <c r="C66" s="30"/>
      <c r="D66" s="19" t="str">
        <f>IF(B66="Barra Fixa", IF(Dashboard!$E$5="Masculino", 4, 15), IF(B66="Meio Sugado", IF(Dashboard!$E$5="Masculino", 25, 20), IF(B66="Abdominal Remador", IF(Dashboard!$E$5="Masculino", 35, 25), IF(B66="Corrida 12 min", IF(Dashboard!$E$5="Masculino", 2200, 1900), ""))))</f>
        <v/>
      </c>
      <c r="E66" s="28" t="str">
        <f t="shared" ref="E66:E97" si="4">IF(OR(C66="",D66=""), "", C66/D66)</f>
        <v/>
      </c>
      <c r="F66" s="29" t="str">
        <f t="shared" ref="F66:F97" si="5">IF(OR(C66="",D66=""), "", IF(C66&gt;=D66, "META ALCANÇADA", "ABAIXO DA META"))</f>
        <v/>
      </c>
    </row>
    <row r="67" spans="1:6" x14ac:dyDescent="0.25">
      <c r="A67" s="32"/>
      <c r="B67" s="33"/>
      <c r="C67" s="32"/>
      <c r="D67" s="34" t="str">
        <f>IF(B67="Barra Fixa", IF(Dashboard!$E$5="Masculino", 4, 15), IF(B67="Meio Sugado", IF(Dashboard!$E$5="Masculino", 25, 20), IF(B67="Abdominal Remador", IF(Dashboard!$E$5="Masculino", 35, 25), IF(B67="Corrida 12 min", IF(Dashboard!$E$5="Masculino", 2200, 1900), ""))))</f>
        <v/>
      </c>
      <c r="E67" s="35" t="str">
        <f t="shared" si="4"/>
        <v/>
      </c>
      <c r="F67" s="36" t="str">
        <f t="shared" si="5"/>
        <v/>
      </c>
    </row>
    <row r="68" spans="1:6" x14ac:dyDescent="0.25">
      <c r="A68" s="30"/>
      <c r="B68" s="31"/>
      <c r="C68" s="30"/>
      <c r="D68" s="19" t="str">
        <f>IF(B68="Barra Fixa", IF(Dashboard!$E$5="Masculino", 4, 15), IF(B68="Meio Sugado", IF(Dashboard!$E$5="Masculino", 25, 20), IF(B68="Abdominal Remador", IF(Dashboard!$E$5="Masculino", 35, 25), IF(B68="Corrida 12 min", IF(Dashboard!$E$5="Masculino", 2200, 1900), ""))))</f>
        <v/>
      </c>
      <c r="E68" s="28" t="str">
        <f t="shared" si="4"/>
        <v/>
      </c>
      <c r="F68" s="29" t="str">
        <f t="shared" si="5"/>
        <v/>
      </c>
    </row>
    <row r="69" spans="1:6" x14ac:dyDescent="0.25">
      <c r="A69" s="32"/>
      <c r="B69" s="33"/>
      <c r="C69" s="32"/>
      <c r="D69" s="34" t="str">
        <f>IF(B69="Barra Fixa", IF(Dashboard!$E$5="Masculino", 4, 15), IF(B69="Meio Sugado", IF(Dashboard!$E$5="Masculino", 25, 20), IF(B69="Abdominal Remador", IF(Dashboard!$E$5="Masculino", 35, 25), IF(B69="Corrida 12 min", IF(Dashboard!$E$5="Masculino", 2200, 1900), ""))))</f>
        <v/>
      </c>
      <c r="E69" s="35" t="str">
        <f t="shared" si="4"/>
        <v/>
      </c>
      <c r="F69" s="36" t="str">
        <f t="shared" si="5"/>
        <v/>
      </c>
    </row>
    <row r="70" spans="1:6" x14ac:dyDescent="0.25">
      <c r="A70" s="30"/>
      <c r="B70" s="31"/>
      <c r="C70" s="30"/>
      <c r="D70" s="19" t="str">
        <f>IF(B70="Barra Fixa", IF(Dashboard!$E$5="Masculino", 4, 15), IF(B70="Meio Sugado", IF(Dashboard!$E$5="Masculino", 25, 20), IF(B70="Abdominal Remador", IF(Dashboard!$E$5="Masculino", 35, 25), IF(B70="Corrida 12 min", IF(Dashboard!$E$5="Masculino", 2200, 1900), ""))))</f>
        <v/>
      </c>
      <c r="E70" s="28" t="str">
        <f t="shared" si="4"/>
        <v/>
      </c>
      <c r="F70" s="29" t="str">
        <f t="shared" si="5"/>
        <v/>
      </c>
    </row>
    <row r="71" spans="1:6" x14ac:dyDescent="0.25">
      <c r="A71" s="32"/>
      <c r="B71" s="33"/>
      <c r="C71" s="32"/>
      <c r="D71" s="34" t="str">
        <f>IF(B71="Barra Fixa", IF(Dashboard!$E$5="Masculino", 4, 15), IF(B71="Meio Sugado", IF(Dashboard!$E$5="Masculino", 25, 20), IF(B71="Abdominal Remador", IF(Dashboard!$E$5="Masculino", 35, 25), IF(B71="Corrida 12 min", IF(Dashboard!$E$5="Masculino", 2200, 1900), ""))))</f>
        <v/>
      </c>
      <c r="E71" s="35" t="str">
        <f t="shared" si="4"/>
        <v/>
      </c>
      <c r="F71" s="36" t="str">
        <f t="shared" si="5"/>
        <v/>
      </c>
    </row>
    <row r="72" spans="1:6" x14ac:dyDescent="0.25">
      <c r="A72" s="30"/>
      <c r="B72" s="31"/>
      <c r="C72" s="30"/>
      <c r="D72" s="19" t="str">
        <f>IF(B72="Barra Fixa", IF(Dashboard!$E$5="Masculino", 4, 15), IF(B72="Meio Sugado", IF(Dashboard!$E$5="Masculino", 25, 20), IF(B72="Abdominal Remador", IF(Dashboard!$E$5="Masculino", 35, 25), IF(B72="Corrida 12 min", IF(Dashboard!$E$5="Masculino", 2200, 1900), ""))))</f>
        <v/>
      </c>
      <c r="E72" s="28" t="str">
        <f t="shared" si="4"/>
        <v/>
      </c>
      <c r="F72" s="29" t="str">
        <f t="shared" si="5"/>
        <v/>
      </c>
    </row>
    <row r="73" spans="1:6" x14ac:dyDescent="0.25">
      <c r="A73" s="32"/>
      <c r="B73" s="33"/>
      <c r="C73" s="32"/>
      <c r="D73" s="34" t="str">
        <f>IF(B73="Barra Fixa", IF(Dashboard!$E$5="Masculino", 4, 15), IF(B73="Meio Sugado", IF(Dashboard!$E$5="Masculino", 25, 20), IF(B73="Abdominal Remador", IF(Dashboard!$E$5="Masculino", 35, 25), IF(B73="Corrida 12 min", IF(Dashboard!$E$5="Masculino", 2200, 1900), ""))))</f>
        <v/>
      </c>
      <c r="E73" s="35" t="str">
        <f t="shared" si="4"/>
        <v/>
      </c>
      <c r="F73" s="36" t="str">
        <f t="shared" si="5"/>
        <v/>
      </c>
    </row>
    <row r="74" spans="1:6" x14ac:dyDescent="0.25">
      <c r="A74" s="30"/>
      <c r="B74" s="31"/>
      <c r="C74" s="30"/>
      <c r="D74" s="19" t="str">
        <f>IF(B74="Barra Fixa", IF(Dashboard!$E$5="Masculino", 4, 15), IF(B74="Meio Sugado", IF(Dashboard!$E$5="Masculino", 25, 20), IF(B74="Abdominal Remador", IF(Dashboard!$E$5="Masculino", 35, 25), IF(B74="Corrida 12 min", IF(Dashboard!$E$5="Masculino", 2200, 1900), ""))))</f>
        <v/>
      </c>
      <c r="E74" s="28" t="str">
        <f t="shared" si="4"/>
        <v/>
      </c>
      <c r="F74" s="29" t="str">
        <f t="shared" si="5"/>
        <v/>
      </c>
    </row>
    <row r="75" spans="1:6" x14ac:dyDescent="0.25">
      <c r="A75" s="32"/>
      <c r="B75" s="33"/>
      <c r="C75" s="32"/>
      <c r="D75" s="34" t="str">
        <f>IF(B75="Barra Fixa", IF(Dashboard!$E$5="Masculino", 4, 15), IF(B75="Meio Sugado", IF(Dashboard!$E$5="Masculino", 25, 20), IF(B75="Abdominal Remador", IF(Dashboard!$E$5="Masculino", 35, 25), IF(B75="Corrida 12 min", IF(Dashboard!$E$5="Masculino", 2200, 1900), ""))))</f>
        <v/>
      </c>
      <c r="E75" s="35" t="str">
        <f t="shared" si="4"/>
        <v/>
      </c>
      <c r="F75" s="36" t="str">
        <f t="shared" si="5"/>
        <v/>
      </c>
    </row>
    <row r="76" spans="1:6" x14ac:dyDescent="0.25">
      <c r="A76" s="30"/>
      <c r="B76" s="31"/>
      <c r="C76" s="30"/>
      <c r="D76" s="19" t="str">
        <f>IF(B76="Barra Fixa", IF(Dashboard!$E$5="Masculino", 4, 15), IF(B76="Meio Sugado", IF(Dashboard!$E$5="Masculino", 25, 20), IF(B76="Abdominal Remador", IF(Dashboard!$E$5="Masculino", 35, 25), IF(B76="Corrida 12 min", IF(Dashboard!$E$5="Masculino", 2200, 1900), ""))))</f>
        <v/>
      </c>
      <c r="E76" s="28" t="str">
        <f t="shared" si="4"/>
        <v/>
      </c>
      <c r="F76" s="29" t="str">
        <f t="shared" si="5"/>
        <v/>
      </c>
    </row>
    <row r="77" spans="1:6" x14ac:dyDescent="0.25">
      <c r="A77" s="32"/>
      <c r="B77" s="33"/>
      <c r="C77" s="32"/>
      <c r="D77" s="34" t="str">
        <f>IF(B77="Barra Fixa", IF(Dashboard!$E$5="Masculino", 4, 15), IF(B77="Meio Sugado", IF(Dashboard!$E$5="Masculino", 25, 20), IF(B77="Abdominal Remador", IF(Dashboard!$E$5="Masculino", 35, 25), IF(B77="Corrida 12 min", IF(Dashboard!$E$5="Masculino", 2200, 1900), ""))))</f>
        <v/>
      </c>
      <c r="E77" s="35" t="str">
        <f t="shared" si="4"/>
        <v/>
      </c>
      <c r="F77" s="36" t="str">
        <f t="shared" si="5"/>
        <v/>
      </c>
    </row>
    <row r="78" spans="1:6" x14ac:dyDescent="0.25">
      <c r="A78" s="30"/>
      <c r="B78" s="31"/>
      <c r="C78" s="30"/>
      <c r="D78" s="19" t="str">
        <f>IF(B78="Barra Fixa", IF(Dashboard!$E$5="Masculino", 4, 15), IF(B78="Meio Sugado", IF(Dashboard!$E$5="Masculino", 25, 20), IF(B78="Abdominal Remador", IF(Dashboard!$E$5="Masculino", 35, 25), IF(B78="Corrida 12 min", IF(Dashboard!$E$5="Masculino", 2200, 1900), ""))))</f>
        <v/>
      </c>
      <c r="E78" s="28" t="str">
        <f t="shared" si="4"/>
        <v/>
      </c>
      <c r="F78" s="29" t="str">
        <f t="shared" si="5"/>
        <v/>
      </c>
    </row>
    <row r="79" spans="1:6" x14ac:dyDescent="0.25">
      <c r="A79" s="32"/>
      <c r="B79" s="33"/>
      <c r="C79" s="32"/>
      <c r="D79" s="34" t="str">
        <f>IF(B79="Barra Fixa", IF(Dashboard!$E$5="Masculino", 4, 15), IF(B79="Meio Sugado", IF(Dashboard!$E$5="Masculino", 25, 20), IF(B79="Abdominal Remador", IF(Dashboard!$E$5="Masculino", 35, 25), IF(B79="Corrida 12 min", IF(Dashboard!$E$5="Masculino", 2200, 1900), ""))))</f>
        <v/>
      </c>
      <c r="E79" s="35" t="str">
        <f t="shared" si="4"/>
        <v/>
      </c>
      <c r="F79" s="36" t="str">
        <f t="shared" si="5"/>
        <v/>
      </c>
    </row>
    <row r="80" spans="1:6" x14ac:dyDescent="0.25">
      <c r="A80" s="30"/>
      <c r="B80" s="31"/>
      <c r="C80" s="30"/>
      <c r="D80" s="19" t="str">
        <f>IF(B80="Barra Fixa", IF(Dashboard!$E$5="Masculino", 4, 15), IF(B80="Meio Sugado", IF(Dashboard!$E$5="Masculino", 25, 20), IF(B80="Abdominal Remador", IF(Dashboard!$E$5="Masculino", 35, 25), IF(B80="Corrida 12 min", IF(Dashboard!$E$5="Masculino", 2200, 1900), ""))))</f>
        <v/>
      </c>
      <c r="E80" s="28" t="str">
        <f t="shared" si="4"/>
        <v/>
      </c>
      <c r="F80" s="29" t="str">
        <f t="shared" si="5"/>
        <v/>
      </c>
    </row>
    <row r="81" spans="1:6" x14ac:dyDescent="0.25">
      <c r="A81" s="32"/>
      <c r="B81" s="33"/>
      <c r="C81" s="32"/>
      <c r="D81" s="34" t="str">
        <f>IF(B81="Barra Fixa", IF(Dashboard!$E$5="Masculino", 4, 15), IF(B81="Meio Sugado", IF(Dashboard!$E$5="Masculino", 25, 20), IF(B81="Abdominal Remador", IF(Dashboard!$E$5="Masculino", 35, 25), IF(B81="Corrida 12 min", IF(Dashboard!$E$5="Masculino", 2200, 1900), ""))))</f>
        <v/>
      </c>
      <c r="E81" s="35" t="str">
        <f t="shared" si="4"/>
        <v/>
      </c>
      <c r="F81" s="36" t="str">
        <f t="shared" si="5"/>
        <v/>
      </c>
    </row>
    <row r="82" spans="1:6" x14ac:dyDescent="0.25">
      <c r="A82" s="30"/>
      <c r="B82" s="31"/>
      <c r="C82" s="30"/>
      <c r="D82" s="19" t="str">
        <f>IF(B82="Barra Fixa", IF(Dashboard!$E$5="Masculino", 4, 15), IF(B82="Meio Sugado", IF(Dashboard!$E$5="Masculino", 25, 20), IF(B82="Abdominal Remador", IF(Dashboard!$E$5="Masculino", 35, 25), IF(B82="Corrida 12 min", IF(Dashboard!$E$5="Masculino", 2200, 1900), ""))))</f>
        <v/>
      </c>
      <c r="E82" s="28" t="str">
        <f t="shared" si="4"/>
        <v/>
      </c>
      <c r="F82" s="29" t="str">
        <f t="shared" si="5"/>
        <v/>
      </c>
    </row>
    <row r="83" spans="1:6" x14ac:dyDescent="0.25">
      <c r="A83" s="32"/>
      <c r="B83" s="33"/>
      <c r="C83" s="32"/>
      <c r="D83" s="34" t="str">
        <f>IF(B83="Barra Fixa", IF(Dashboard!$E$5="Masculino", 4, 15), IF(B83="Meio Sugado", IF(Dashboard!$E$5="Masculino", 25, 20), IF(B83="Abdominal Remador", IF(Dashboard!$E$5="Masculino", 35, 25), IF(B83="Corrida 12 min", IF(Dashboard!$E$5="Masculino", 2200, 1900), ""))))</f>
        <v/>
      </c>
      <c r="E83" s="35" t="str">
        <f t="shared" si="4"/>
        <v/>
      </c>
      <c r="F83" s="36" t="str">
        <f t="shared" si="5"/>
        <v/>
      </c>
    </row>
    <row r="84" spans="1:6" x14ac:dyDescent="0.25">
      <c r="A84" s="30"/>
      <c r="B84" s="31"/>
      <c r="C84" s="30"/>
      <c r="D84" s="19" t="str">
        <f>IF(B84="Barra Fixa", IF(Dashboard!$E$5="Masculino", 4, 15), IF(B84="Meio Sugado", IF(Dashboard!$E$5="Masculino", 25, 20), IF(B84="Abdominal Remador", IF(Dashboard!$E$5="Masculino", 35, 25), IF(B84="Corrida 12 min", IF(Dashboard!$E$5="Masculino", 2200, 1900), ""))))</f>
        <v/>
      </c>
      <c r="E84" s="28" t="str">
        <f t="shared" si="4"/>
        <v/>
      </c>
      <c r="F84" s="29" t="str">
        <f t="shared" si="5"/>
        <v/>
      </c>
    </row>
    <row r="85" spans="1:6" x14ac:dyDescent="0.25">
      <c r="A85" s="32"/>
      <c r="B85" s="33"/>
      <c r="C85" s="32"/>
      <c r="D85" s="34" t="str">
        <f>IF(B85="Barra Fixa", IF(Dashboard!$E$5="Masculino", 4, 15), IF(B85="Meio Sugado", IF(Dashboard!$E$5="Masculino", 25, 20), IF(B85="Abdominal Remador", IF(Dashboard!$E$5="Masculino", 35, 25), IF(B85="Corrida 12 min", IF(Dashboard!$E$5="Masculino", 2200, 1900), ""))))</f>
        <v/>
      </c>
      <c r="E85" s="35" t="str">
        <f t="shared" si="4"/>
        <v/>
      </c>
      <c r="F85" s="36" t="str">
        <f t="shared" si="5"/>
        <v/>
      </c>
    </row>
    <row r="86" spans="1:6" x14ac:dyDescent="0.25">
      <c r="A86" s="30"/>
      <c r="B86" s="31"/>
      <c r="C86" s="30"/>
      <c r="D86" s="19" t="str">
        <f>IF(B86="Barra Fixa", IF(Dashboard!$E$5="Masculino", 4, 15), IF(B86="Meio Sugado", IF(Dashboard!$E$5="Masculino", 25, 20), IF(B86="Abdominal Remador", IF(Dashboard!$E$5="Masculino", 35, 25), IF(B86="Corrida 12 min", IF(Dashboard!$E$5="Masculino", 2200, 1900), ""))))</f>
        <v/>
      </c>
      <c r="E86" s="28" t="str">
        <f t="shared" si="4"/>
        <v/>
      </c>
      <c r="F86" s="29" t="str">
        <f t="shared" si="5"/>
        <v/>
      </c>
    </row>
    <row r="87" spans="1:6" x14ac:dyDescent="0.25">
      <c r="A87" s="32"/>
      <c r="B87" s="33"/>
      <c r="C87" s="32"/>
      <c r="D87" s="34" t="str">
        <f>IF(B87="Barra Fixa", IF(Dashboard!$E$5="Masculino", 4, 15), IF(B87="Meio Sugado", IF(Dashboard!$E$5="Masculino", 25, 20), IF(B87="Abdominal Remador", IF(Dashboard!$E$5="Masculino", 35, 25), IF(B87="Corrida 12 min", IF(Dashboard!$E$5="Masculino", 2200, 1900), ""))))</f>
        <v/>
      </c>
      <c r="E87" s="35" t="str">
        <f t="shared" si="4"/>
        <v/>
      </c>
      <c r="F87" s="36" t="str">
        <f t="shared" si="5"/>
        <v/>
      </c>
    </row>
    <row r="88" spans="1:6" x14ac:dyDescent="0.25">
      <c r="A88" s="30"/>
      <c r="B88" s="31"/>
      <c r="C88" s="30"/>
      <c r="D88" s="19" t="str">
        <f>IF(B88="Barra Fixa", IF(Dashboard!$E$5="Masculino", 4, 15), IF(B88="Meio Sugado", IF(Dashboard!$E$5="Masculino", 25, 20), IF(B88="Abdominal Remador", IF(Dashboard!$E$5="Masculino", 35, 25), IF(B88="Corrida 12 min", IF(Dashboard!$E$5="Masculino", 2200, 1900), ""))))</f>
        <v/>
      </c>
      <c r="E88" s="28" t="str">
        <f t="shared" si="4"/>
        <v/>
      </c>
      <c r="F88" s="29" t="str">
        <f t="shared" si="5"/>
        <v/>
      </c>
    </row>
    <row r="89" spans="1:6" x14ac:dyDescent="0.25">
      <c r="A89" s="32"/>
      <c r="B89" s="33"/>
      <c r="C89" s="32"/>
      <c r="D89" s="34" t="str">
        <f>IF(B89="Barra Fixa", IF(Dashboard!$E$5="Masculino", 4, 15), IF(B89="Meio Sugado", IF(Dashboard!$E$5="Masculino", 25, 20), IF(B89="Abdominal Remador", IF(Dashboard!$E$5="Masculino", 35, 25), IF(B89="Corrida 12 min", IF(Dashboard!$E$5="Masculino", 2200, 1900), ""))))</f>
        <v/>
      </c>
      <c r="E89" s="35" t="str">
        <f t="shared" si="4"/>
        <v/>
      </c>
      <c r="F89" s="36" t="str">
        <f t="shared" si="5"/>
        <v/>
      </c>
    </row>
    <row r="90" spans="1:6" x14ac:dyDescent="0.25">
      <c r="A90" s="30"/>
      <c r="B90" s="31"/>
      <c r="C90" s="30"/>
      <c r="D90" s="19" t="str">
        <f>IF(B90="Barra Fixa", IF(Dashboard!$E$5="Masculino", 4, 15), IF(B90="Meio Sugado", IF(Dashboard!$E$5="Masculino", 25, 20), IF(B90="Abdominal Remador", IF(Dashboard!$E$5="Masculino", 35, 25), IF(B90="Corrida 12 min", IF(Dashboard!$E$5="Masculino", 2200, 1900), ""))))</f>
        <v/>
      </c>
      <c r="E90" s="28" t="str">
        <f t="shared" si="4"/>
        <v/>
      </c>
      <c r="F90" s="29" t="str">
        <f t="shared" si="5"/>
        <v/>
      </c>
    </row>
    <row r="91" spans="1:6" x14ac:dyDescent="0.25">
      <c r="A91" s="32"/>
      <c r="B91" s="33"/>
      <c r="C91" s="32"/>
      <c r="D91" s="34" t="str">
        <f>IF(B91="Barra Fixa", IF(Dashboard!$E$5="Masculino", 4, 15), IF(B91="Meio Sugado", IF(Dashboard!$E$5="Masculino", 25, 20), IF(B91="Abdominal Remador", IF(Dashboard!$E$5="Masculino", 35, 25), IF(B91="Corrida 12 min", IF(Dashboard!$E$5="Masculino", 2200, 1900), ""))))</f>
        <v/>
      </c>
      <c r="E91" s="35" t="str">
        <f t="shared" si="4"/>
        <v/>
      </c>
      <c r="F91" s="36" t="str">
        <f t="shared" si="5"/>
        <v/>
      </c>
    </row>
    <row r="92" spans="1:6" x14ac:dyDescent="0.25">
      <c r="A92" s="30"/>
      <c r="B92" s="31"/>
      <c r="C92" s="30"/>
      <c r="D92" s="19" t="str">
        <f>IF(B92="Barra Fixa", IF(Dashboard!$E$5="Masculino", 4, 15), IF(B92="Meio Sugado", IF(Dashboard!$E$5="Masculino", 25, 20), IF(B92="Abdominal Remador", IF(Dashboard!$E$5="Masculino", 35, 25), IF(B92="Corrida 12 min", IF(Dashboard!$E$5="Masculino", 2200, 1900), ""))))</f>
        <v/>
      </c>
      <c r="E92" s="28" t="str">
        <f t="shared" si="4"/>
        <v/>
      </c>
      <c r="F92" s="29" t="str">
        <f t="shared" si="5"/>
        <v/>
      </c>
    </row>
    <row r="93" spans="1:6" x14ac:dyDescent="0.25">
      <c r="A93" s="32"/>
      <c r="B93" s="33"/>
      <c r="C93" s="32"/>
      <c r="D93" s="34" t="str">
        <f>IF(B93="Barra Fixa", IF(Dashboard!$E$5="Masculino", 4, 15), IF(B93="Meio Sugado", IF(Dashboard!$E$5="Masculino", 25, 20), IF(B93="Abdominal Remador", IF(Dashboard!$E$5="Masculino", 35, 25), IF(B93="Corrida 12 min", IF(Dashboard!$E$5="Masculino", 2200, 1900), ""))))</f>
        <v/>
      </c>
      <c r="E93" s="35" t="str">
        <f t="shared" si="4"/>
        <v/>
      </c>
      <c r="F93" s="36" t="str">
        <f t="shared" si="5"/>
        <v/>
      </c>
    </row>
    <row r="94" spans="1:6" x14ac:dyDescent="0.25">
      <c r="A94" s="30"/>
      <c r="B94" s="31"/>
      <c r="C94" s="30"/>
      <c r="D94" s="19" t="str">
        <f>IF(B94="Barra Fixa", IF(Dashboard!$E$5="Masculino", 4, 15), IF(B94="Meio Sugado", IF(Dashboard!$E$5="Masculino", 25, 20), IF(B94="Abdominal Remador", IF(Dashboard!$E$5="Masculino", 35, 25), IF(B94="Corrida 12 min", IF(Dashboard!$E$5="Masculino", 2200, 1900), ""))))</f>
        <v/>
      </c>
      <c r="E94" s="28" t="str">
        <f t="shared" si="4"/>
        <v/>
      </c>
      <c r="F94" s="29" t="str">
        <f t="shared" si="5"/>
        <v/>
      </c>
    </row>
    <row r="95" spans="1:6" x14ac:dyDescent="0.25">
      <c r="A95" s="32"/>
      <c r="B95" s="33"/>
      <c r="C95" s="32"/>
      <c r="D95" s="34" t="str">
        <f>IF(B95="Barra Fixa", IF(Dashboard!$E$5="Masculino", 4, 15), IF(B95="Meio Sugado", IF(Dashboard!$E$5="Masculino", 25, 20), IF(B95="Abdominal Remador", IF(Dashboard!$E$5="Masculino", 35, 25), IF(B95="Corrida 12 min", IF(Dashboard!$E$5="Masculino", 2200, 1900), ""))))</f>
        <v/>
      </c>
      <c r="E95" s="35" t="str">
        <f t="shared" si="4"/>
        <v/>
      </c>
      <c r="F95" s="36" t="str">
        <f t="shared" si="5"/>
        <v/>
      </c>
    </row>
    <row r="96" spans="1:6" x14ac:dyDescent="0.25">
      <c r="A96" s="30"/>
      <c r="B96" s="31"/>
      <c r="C96" s="30"/>
      <c r="D96" s="19" t="str">
        <f>IF(B96="Barra Fixa", IF(Dashboard!$E$5="Masculino", 4, 15), IF(B96="Meio Sugado", IF(Dashboard!$E$5="Masculino", 25, 20), IF(B96="Abdominal Remador", IF(Dashboard!$E$5="Masculino", 35, 25), IF(B96="Corrida 12 min", IF(Dashboard!$E$5="Masculino", 2200, 1900), ""))))</f>
        <v/>
      </c>
      <c r="E96" s="28" t="str">
        <f t="shared" si="4"/>
        <v/>
      </c>
      <c r="F96" s="29" t="str">
        <f t="shared" si="5"/>
        <v/>
      </c>
    </row>
    <row r="97" spans="1:6" x14ac:dyDescent="0.25">
      <c r="A97" s="32"/>
      <c r="B97" s="33"/>
      <c r="C97" s="32"/>
      <c r="D97" s="34" t="str">
        <f>IF(B97="Barra Fixa", IF(Dashboard!$E$5="Masculino", 4, 15), IF(B97="Meio Sugado", IF(Dashboard!$E$5="Masculino", 25, 20), IF(B97="Abdominal Remador", IF(Dashboard!$E$5="Masculino", 35, 25), IF(B97="Corrida 12 min", IF(Dashboard!$E$5="Masculino", 2200, 1900), ""))))</f>
        <v/>
      </c>
      <c r="E97" s="35" t="str">
        <f t="shared" si="4"/>
        <v/>
      </c>
      <c r="F97" s="36" t="str">
        <f t="shared" si="5"/>
        <v/>
      </c>
    </row>
    <row r="98" spans="1:6" x14ac:dyDescent="0.25">
      <c r="A98" s="30"/>
      <c r="B98" s="31"/>
      <c r="C98" s="30"/>
      <c r="D98" s="19" t="str">
        <f>IF(B98="Barra Fixa", IF(Dashboard!$E$5="Masculino", 4, 15), IF(B98="Meio Sugado", IF(Dashboard!$E$5="Masculino", 25, 20), IF(B98="Abdominal Remador", IF(Dashboard!$E$5="Masculino", 35, 25), IF(B98="Corrida 12 min", IF(Dashboard!$E$5="Masculino", 2200, 1900), ""))))</f>
        <v/>
      </c>
      <c r="E98" s="28" t="str">
        <f t="shared" ref="E98:E129" si="6">IF(OR(C98="",D98=""), "", C98/D98)</f>
        <v/>
      </c>
      <c r="F98" s="29" t="str">
        <f t="shared" ref="F98:F129" si="7">IF(OR(C98="",D98=""), "", IF(C98&gt;=D98, "META ALCANÇADA", "ABAIXO DA META"))</f>
        <v/>
      </c>
    </row>
    <row r="99" spans="1:6" x14ac:dyDescent="0.25">
      <c r="A99" s="32"/>
      <c r="B99" s="33"/>
      <c r="C99" s="32"/>
      <c r="D99" s="34" t="str">
        <f>IF(B99="Barra Fixa", IF(Dashboard!$E$5="Masculino", 4, 15), IF(B99="Meio Sugado", IF(Dashboard!$E$5="Masculino", 25, 20), IF(B99="Abdominal Remador", IF(Dashboard!$E$5="Masculino", 35, 25), IF(B99="Corrida 12 min", IF(Dashboard!$E$5="Masculino", 2200, 1900), ""))))</f>
        <v/>
      </c>
      <c r="E99" s="35" t="str">
        <f t="shared" si="6"/>
        <v/>
      </c>
      <c r="F99" s="36" t="str">
        <f t="shared" si="7"/>
        <v/>
      </c>
    </row>
    <row r="100" spans="1:6" x14ac:dyDescent="0.25">
      <c r="A100" s="30"/>
      <c r="B100" s="31"/>
      <c r="C100" s="30"/>
      <c r="D100" s="19" t="str">
        <f>IF(B100="Barra Fixa", IF(Dashboard!$E$5="Masculino", 4, 15), IF(B100="Meio Sugado", IF(Dashboard!$E$5="Masculino", 25, 20), IF(B100="Abdominal Remador", IF(Dashboard!$E$5="Masculino", 35, 25), IF(B100="Corrida 12 min", IF(Dashboard!$E$5="Masculino", 2200, 1900), ""))))</f>
        <v/>
      </c>
      <c r="E100" s="28" t="str">
        <f t="shared" si="6"/>
        <v/>
      </c>
      <c r="F100" s="29" t="str">
        <f t="shared" si="7"/>
        <v/>
      </c>
    </row>
    <row r="101" spans="1:6" x14ac:dyDescent="0.25">
      <c r="A101" s="32"/>
      <c r="B101" s="33"/>
      <c r="C101" s="32"/>
      <c r="D101" s="34" t="str">
        <f>IF(B101="Barra Fixa", IF(Dashboard!$E$5="Masculino", 4, 15), IF(B101="Meio Sugado", IF(Dashboard!$E$5="Masculino", 25, 20), IF(B101="Abdominal Remador", IF(Dashboard!$E$5="Masculino", 35, 25), IF(B101="Corrida 12 min", IF(Dashboard!$E$5="Masculino", 2200, 1900), ""))))</f>
        <v/>
      </c>
      <c r="E101" s="35" t="str">
        <f t="shared" si="6"/>
        <v/>
      </c>
      <c r="F101" s="36" t="str">
        <f t="shared" si="7"/>
        <v/>
      </c>
    </row>
    <row r="102" spans="1:6" x14ac:dyDescent="0.25">
      <c r="A102" s="30"/>
      <c r="B102" s="31"/>
      <c r="C102" s="30"/>
      <c r="D102" s="19" t="str">
        <f>IF(B102="Barra Fixa", IF(Dashboard!$E$5="Masculino", 4, 15), IF(B102="Meio Sugado", IF(Dashboard!$E$5="Masculino", 25, 20), IF(B102="Abdominal Remador", IF(Dashboard!$E$5="Masculino", 35, 25), IF(B102="Corrida 12 min", IF(Dashboard!$E$5="Masculino", 2200, 1900), ""))))</f>
        <v/>
      </c>
      <c r="E102" s="28" t="str">
        <f t="shared" si="6"/>
        <v/>
      </c>
      <c r="F102" s="29" t="str">
        <f t="shared" si="7"/>
        <v/>
      </c>
    </row>
    <row r="103" spans="1:6" x14ac:dyDescent="0.25">
      <c r="A103" s="32"/>
      <c r="B103" s="33"/>
      <c r="C103" s="32"/>
      <c r="D103" s="34" t="str">
        <f>IF(B103="Barra Fixa", IF(Dashboard!$E$5="Masculino", 4, 15), IF(B103="Meio Sugado", IF(Dashboard!$E$5="Masculino", 25, 20), IF(B103="Abdominal Remador", IF(Dashboard!$E$5="Masculino", 35, 25), IF(B103="Corrida 12 min", IF(Dashboard!$E$5="Masculino", 2200, 1900), ""))))</f>
        <v/>
      </c>
      <c r="E103" s="35" t="str">
        <f t="shared" si="6"/>
        <v/>
      </c>
      <c r="F103" s="36" t="str">
        <f t="shared" si="7"/>
        <v/>
      </c>
    </row>
    <row r="104" spans="1:6" x14ac:dyDescent="0.25">
      <c r="A104" s="30"/>
      <c r="B104" s="31"/>
      <c r="C104" s="30"/>
      <c r="D104" s="19" t="str">
        <f>IF(B104="Barra Fixa", IF(Dashboard!$E$5="Masculino", 4, 15), IF(B104="Meio Sugado", IF(Dashboard!$E$5="Masculino", 25, 20), IF(B104="Abdominal Remador", IF(Dashboard!$E$5="Masculino", 35, 25), IF(B104="Corrida 12 min", IF(Dashboard!$E$5="Masculino", 2200, 1900), ""))))</f>
        <v/>
      </c>
      <c r="E104" s="28" t="str">
        <f t="shared" si="6"/>
        <v/>
      </c>
      <c r="F104" s="29" t="str">
        <f t="shared" si="7"/>
        <v/>
      </c>
    </row>
    <row r="105" spans="1:6" x14ac:dyDescent="0.25">
      <c r="A105" s="32"/>
      <c r="B105" s="33"/>
      <c r="C105" s="32"/>
      <c r="D105" s="34" t="str">
        <f>IF(B105="Barra Fixa", IF(Dashboard!$E$5="Masculino", 4, 15), IF(B105="Meio Sugado", IF(Dashboard!$E$5="Masculino", 25, 20), IF(B105="Abdominal Remador", IF(Dashboard!$E$5="Masculino", 35, 25), IF(B105="Corrida 12 min", IF(Dashboard!$E$5="Masculino", 2200, 1900), ""))))</f>
        <v/>
      </c>
      <c r="E105" s="35" t="str">
        <f t="shared" si="6"/>
        <v/>
      </c>
      <c r="F105" s="36" t="str">
        <f t="shared" si="7"/>
        <v/>
      </c>
    </row>
    <row r="106" spans="1:6" x14ac:dyDescent="0.25">
      <c r="A106" s="30"/>
      <c r="B106" s="31"/>
      <c r="C106" s="30"/>
      <c r="D106" s="19" t="str">
        <f>IF(B106="Barra Fixa", IF(Dashboard!$E$5="Masculino", 4, 15), IF(B106="Meio Sugado", IF(Dashboard!$E$5="Masculino", 25, 20), IF(B106="Abdominal Remador", IF(Dashboard!$E$5="Masculino", 35, 25), IF(B106="Corrida 12 min", IF(Dashboard!$E$5="Masculino", 2200, 1900), ""))))</f>
        <v/>
      </c>
      <c r="E106" s="28" t="str">
        <f t="shared" si="6"/>
        <v/>
      </c>
      <c r="F106" s="29" t="str">
        <f t="shared" si="7"/>
        <v/>
      </c>
    </row>
    <row r="107" spans="1:6" x14ac:dyDescent="0.25">
      <c r="A107" s="32"/>
      <c r="B107" s="33"/>
      <c r="C107" s="32"/>
      <c r="D107" s="34" t="str">
        <f>IF(B107="Barra Fixa", IF(Dashboard!$E$5="Masculino", 4, 15), IF(B107="Meio Sugado", IF(Dashboard!$E$5="Masculino", 25, 20), IF(B107="Abdominal Remador", IF(Dashboard!$E$5="Masculino", 35, 25), IF(B107="Corrida 12 min", IF(Dashboard!$E$5="Masculino", 2200, 1900), ""))))</f>
        <v/>
      </c>
      <c r="E107" s="35" t="str">
        <f t="shared" si="6"/>
        <v/>
      </c>
      <c r="F107" s="36" t="str">
        <f t="shared" si="7"/>
        <v/>
      </c>
    </row>
    <row r="108" spans="1:6" x14ac:dyDescent="0.25">
      <c r="A108" s="30"/>
      <c r="B108" s="31"/>
      <c r="C108" s="30"/>
      <c r="D108" s="19" t="str">
        <f>IF(B108="Barra Fixa", IF(Dashboard!$E$5="Masculino", 4, 15), IF(B108="Meio Sugado", IF(Dashboard!$E$5="Masculino", 25, 20), IF(B108="Abdominal Remador", IF(Dashboard!$E$5="Masculino", 35, 25), IF(B108="Corrida 12 min", IF(Dashboard!$E$5="Masculino", 2200, 1900), ""))))</f>
        <v/>
      </c>
      <c r="E108" s="28" t="str">
        <f t="shared" si="6"/>
        <v/>
      </c>
      <c r="F108" s="29" t="str">
        <f t="shared" si="7"/>
        <v/>
      </c>
    </row>
    <row r="109" spans="1:6" x14ac:dyDescent="0.25">
      <c r="A109" s="32"/>
      <c r="B109" s="33"/>
      <c r="C109" s="32"/>
      <c r="D109" s="34" t="str">
        <f>IF(B109="Barra Fixa", IF(Dashboard!$E$5="Masculino", 4, 15), IF(B109="Meio Sugado", IF(Dashboard!$E$5="Masculino", 25, 20), IF(B109="Abdominal Remador", IF(Dashboard!$E$5="Masculino", 35, 25), IF(B109="Corrida 12 min", IF(Dashboard!$E$5="Masculino", 2200, 1900), ""))))</f>
        <v/>
      </c>
      <c r="E109" s="35" t="str">
        <f t="shared" si="6"/>
        <v/>
      </c>
      <c r="F109" s="36" t="str">
        <f t="shared" si="7"/>
        <v/>
      </c>
    </row>
    <row r="110" spans="1:6" x14ac:dyDescent="0.25">
      <c r="A110" s="30"/>
      <c r="B110" s="31"/>
      <c r="C110" s="30"/>
      <c r="D110" s="19" t="str">
        <f>IF(B110="Barra Fixa", IF(Dashboard!$E$5="Masculino", 4, 15), IF(B110="Meio Sugado", IF(Dashboard!$E$5="Masculino", 25, 20), IF(B110="Abdominal Remador", IF(Dashboard!$E$5="Masculino", 35, 25), IF(B110="Corrida 12 min", IF(Dashboard!$E$5="Masculino", 2200, 1900), ""))))</f>
        <v/>
      </c>
      <c r="E110" s="28" t="str">
        <f t="shared" si="6"/>
        <v/>
      </c>
      <c r="F110" s="29" t="str">
        <f t="shared" si="7"/>
        <v/>
      </c>
    </row>
    <row r="111" spans="1:6" x14ac:dyDescent="0.25">
      <c r="A111" s="32"/>
      <c r="B111" s="33"/>
      <c r="C111" s="32"/>
      <c r="D111" s="34" t="str">
        <f>IF(B111="Barra Fixa", IF(Dashboard!$E$5="Masculino", 4, 15), IF(B111="Meio Sugado", IF(Dashboard!$E$5="Masculino", 25, 20), IF(B111="Abdominal Remador", IF(Dashboard!$E$5="Masculino", 35, 25), IF(B111="Corrida 12 min", IF(Dashboard!$E$5="Masculino", 2200, 1900), ""))))</f>
        <v/>
      </c>
      <c r="E111" s="35" t="str">
        <f t="shared" si="6"/>
        <v/>
      </c>
      <c r="F111" s="36" t="str">
        <f t="shared" si="7"/>
        <v/>
      </c>
    </row>
    <row r="112" spans="1:6" x14ac:dyDescent="0.25">
      <c r="A112" s="30"/>
      <c r="B112" s="31"/>
      <c r="C112" s="30"/>
      <c r="D112" s="19" t="str">
        <f>IF(B112="Barra Fixa", IF(Dashboard!$E$5="Masculino", 4, 15), IF(B112="Meio Sugado", IF(Dashboard!$E$5="Masculino", 25, 20), IF(B112="Abdominal Remador", IF(Dashboard!$E$5="Masculino", 35, 25), IF(B112="Corrida 12 min", IF(Dashboard!$E$5="Masculino", 2200, 1900), ""))))</f>
        <v/>
      </c>
      <c r="E112" s="28" t="str">
        <f t="shared" si="6"/>
        <v/>
      </c>
      <c r="F112" s="29" t="str">
        <f t="shared" si="7"/>
        <v/>
      </c>
    </row>
    <row r="113" spans="1:6" x14ac:dyDescent="0.25">
      <c r="A113" s="32"/>
      <c r="B113" s="33"/>
      <c r="C113" s="32"/>
      <c r="D113" s="34" t="str">
        <f>IF(B113="Barra Fixa", IF(Dashboard!$E$5="Masculino", 4, 15), IF(B113="Meio Sugado", IF(Dashboard!$E$5="Masculino", 25, 20), IF(B113="Abdominal Remador", IF(Dashboard!$E$5="Masculino", 35, 25), IF(B113="Corrida 12 min", IF(Dashboard!$E$5="Masculino", 2200, 1900), ""))))</f>
        <v/>
      </c>
      <c r="E113" s="35" t="str">
        <f t="shared" si="6"/>
        <v/>
      </c>
      <c r="F113" s="36" t="str">
        <f t="shared" si="7"/>
        <v/>
      </c>
    </row>
    <row r="114" spans="1:6" x14ac:dyDescent="0.25">
      <c r="A114" s="30"/>
      <c r="B114" s="31"/>
      <c r="C114" s="30"/>
      <c r="D114" s="19" t="str">
        <f>IF(B114="Barra Fixa", IF(Dashboard!$E$5="Masculino", 4, 15), IF(B114="Meio Sugado", IF(Dashboard!$E$5="Masculino", 25, 20), IF(B114="Abdominal Remador", IF(Dashboard!$E$5="Masculino", 35, 25), IF(B114="Corrida 12 min", IF(Dashboard!$E$5="Masculino", 2200, 1900), ""))))</f>
        <v/>
      </c>
      <c r="E114" s="28" t="str">
        <f t="shared" si="6"/>
        <v/>
      </c>
      <c r="F114" s="29" t="str">
        <f t="shared" si="7"/>
        <v/>
      </c>
    </row>
    <row r="115" spans="1:6" x14ac:dyDescent="0.25">
      <c r="A115" s="32"/>
      <c r="B115" s="33"/>
      <c r="C115" s="32"/>
      <c r="D115" s="34" t="str">
        <f>IF(B115="Barra Fixa", IF(Dashboard!$E$5="Masculino", 4, 15), IF(B115="Meio Sugado", IF(Dashboard!$E$5="Masculino", 25, 20), IF(B115="Abdominal Remador", IF(Dashboard!$E$5="Masculino", 35, 25), IF(B115="Corrida 12 min", IF(Dashboard!$E$5="Masculino", 2200, 1900), ""))))</f>
        <v/>
      </c>
      <c r="E115" s="35" t="str">
        <f t="shared" si="6"/>
        <v/>
      </c>
      <c r="F115" s="36" t="str">
        <f t="shared" si="7"/>
        <v/>
      </c>
    </row>
    <row r="116" spans="1:6" x14ac:dyDescent="0.25">
      <c r="A116" s="30"/>
      <c r="B116" s="31"/>
      <c r="C116" s="30"/>
      <c r="D116" s="19" t="str">
        <f>IF(B116="Barra Fixa", IF(Dashboard!$E$5="Masculino", 4, 15), IF(B116="Meio Sugado", IF(Dashboard!$E$5="Masculino", 25, 20), IF(B116="Abdominal Remador", IF(Dashboard!$E$5="Masculino", 35, 25), IF(B116="Corrida 12 min", IF(Dashboard!$E$5="Masculino", 2200, 1900), ""))))</f>
        <v/>
      </c>
      <c r="E116" s="28" t="str">
        <f t="shared" si="6"/>
        <v/>
      </c>
      <c r="F116" s="29" t="str">
        <f t="shared" si="7"/>
        <v/>
      </c>
    </row>
    <row r="117" spans="1:6" x14ac:dyDescent="0.25">
      <c r="A117" s="32"/>
      <c r="B117" s="33"/>
      <c r="C117" s="32"/>
      <c r="D117" s="34" t="str">
        <f>IF(B117="Barra Fixa", IF(Dashboard!$E$5="Masculino", 4, 15), IF(B117="Meio Sugado", IF(Dashboard!$E$5="Masculino", 25, 20), IF(B117="Abdominal Remador", IF(Dashboard!$E$5="Masculino", 35, 25), IF(B117="Corrida 12 min", IF(Dashboard!$E$5="Masculino", 2200, 1900), ""))))</f>
        <v/>
      </c>
      <c r="E117" s="35" t="str">
        <f t="shared" si="6"/>
        <v/>
      </c>
      <c r="F117" s="36" t="str">
        <f t="shared" si="7"/>
        <v/>
      </c>
    </row>
    <row r="118" spans="1:6" x14ac:dyDescent="0.25">
      <c r="A118" s="30"/>
      <c r="B118" s="31"/>
      <c r="C118" s="30"/>
      <c r="D118" s="19" t="str">
        <f>IF(B118="Barra Fixa", IF(Dashboard!$E$5="Masculino", 4, 15), IF(B118="Meio Sugado", IF(Dashboard!$E$5="Masculino", 25, 20), IF(B118="Abdominal Remador", IF(Dashboard!$E$5="Masculino", 35, 25), IF(B118="Corrida 12 min", IF(Dashboard!$E$5="Masculino", 2200, 1900), ""))))</f>
        <v/>
      </c>
      <c r="E118" s="28" t="str">
        <f t="shared" si="6"/>
        <v/>
      </c>
      <c r="F118" s="29" t="str">
        <f t="shared" si="7"/>
        <v/>
      </c>
    </row>
    <row r="119" spans="1:6" x14ac:dyDescent="0.25">
      <c r="A119" s="32"/>
      <c r="B119" s="33"/>
      <c r="C119" s="32"/>
      <c r="D119" s="34" t="str">
        <f>IF(B119="Barra Fixa", IF(Dashboard!$E$5="Masculino", 4, 15), IF(B119="Meio Sugado", IF(Dashboard!$E$5="Masculino", 25, 20), IF(B119="Abdominal Remador", IF(Dashboard!$E$5="Masculino", 35, 25), IF(B119="Corrida 12 min", IF(Dashboard!$E$5="Masculino", 2200, 1900), ""))))</f>
        <v/>
      </c>
      <c r="E119" s="35" t="str">
        <f t="shared" si="6"/>
        <v/>
      </c>
      <c r="F119" s="36" t="str">
        <f t="shared" si="7"/>
        <v/>
      </c>
    </row>
    <row r="120" spans="1:6" x14ac:dyDescent="0.25">
      <c r="A120" s="30"/>
      <c r="B120" s="31"/>
      <c r="C120" s="30"/>
      <c r="D120" s="19" t="str">
        <f>IF(B120="Barra Fixa", IF(Dashboard!$E$5="Masculino", 4, 15), IF(B120="Meio Sugado", IF(Dashboard!$E$5="Masculino", 25, 20), IF(B120="Abdominal Remador", IF(Dashboard!$E$5="Masculino", 35, 25), IF(B120="Corrida 12 min", IF(Dashboard!$E$5="Masculino", 2200, 1900), ""))))</f>
        <v/>
      </c>
      <c r="E120" s="28" t="str">
        <f t="shared" si="6"/>
        <v/>
      </c>
      <c r="F120" s="29" t="str">
        <f t="shared" si="7"/>
        <v/>
      </c>
    </row>
    <row r="121" spans="1:6" x14ac:dyDescent="0.25">
      <c r="A121" s="32"/>
      <c r="B121" s="33"/>
      <c r="C121" s="32"/>
      <c r="D121" s="34" t="str">
        <f>IF(B121="Barra Fixa", IF(Dashboard!$E$5="Masculino", 4, 15), IF(B121="Meio Sugado", IF(Dashboard!$E$5="Masculino", 25, 20), IF(B121="Abdominal Remador", IF(Dashboard!$E$5="Masculino", 35, 25), IF(B121="Corrida 12 min", IF(Dashboard!$E$5="Masculino", 2200, 1900), ""))))</f>
        <v/>
      </c>
      <c r="E121" s="35" t="str">
        <f t="shared" si="6"/>
        <v/>
      </c>
      <c r="F121" s="36" t="str">
        <f t="shared" si="7"/>
        <v/>
      </c>
    </row>
    <row r="122" spans="1:6" x14ac:dyDescent="0.25">
      <c r="A122" s="30"/>
      <c r="B122" s="31"/>
      <c r="C122" s="30"/>
      <c r="D122" s="19" t="str">
        <f>IF(B122="Barra Fixa", IF(Dashboard!$E$5="Masculino", 4, 15), IF(B122="Meio Sugado", IF(Dashboard!$E$5="Masculino", 25, 20), IF(B122="Abdominal Remador", IF(Dashboard!$E$5="Masculino", 35, 25), IF(B122="Corrida 12 min", IF(Dashboard!$E$5="Masculino", 2200, 1900), ""))))</f>
        <v/>
      </c>
      <c r="E122" s="28" t="str">
        <f t="shared" si="6"/>
        <v/>
      </c>
      <c r="F122" s="29" t="str">
        <f t="shared" si="7"/>
        <v/>
      </c>
    </row>
    <row r="123" spans="1:6" x14ac:dyDescent="0.25">
      <c r="A123" s="32"/>
      <c r="B123" s="33"/>
      <c r="C123" s="32"/>
      <c r="D123" s="34" t="str">
        <f>IF(B123="Barra Fixa", IF(Dashboard!$E$5="Masculino", 4, 15), IF(B123="Meio Sugado", IF(Dashboard!$E$5="Masculino", 25, 20), IF(B123="Abdominal Remador", IF(Dashboard!$E$5="Masculino", 35, 25), IF(B123="Corrida 12 min", IF(Dashboard!$E$5="Masculino", 2200, 1900), ""))))</f>
        <v/>
      </c>
      <c r="E123" s="35" t="str">
        <f t="shared" si="6"/>
        <v/>
      </c>
      <c r="F123" s="36" t="str">
        <f t="shared" si="7"/>
        <v/>
      </c>
    </row>
    <row r="124" spans="1:6" x14ac:dyDescent="0.25">
      <c r="A124" s="30"/>
      <c r="B124" s="31"/>
      <c r="C124" s="30"/>
      <c r="D124" s="19" t="str">
        <f>IF(B124="Barra Fixa", IF(Dashboard!$E$5="Masculino", 4, 15), IF(B124="Meio Sugado", IF(Dashboard!$E$5="Masculino", 25, 20), IF(B124="Abdominal Remador", IF(Dashboard!$E$5="Masculino", 35, 25), IF(B124="Corrida 12 min", IF(Dashboard!$E$5="Masculino", 2200, 1900), ""))))</f>
        <v/>
      </c>
      <c r="E124" s="28" t="str">
        <f t="shared" si="6"/>
        <v/>
      </c>
      <c r="F124" s="29" t="str">
        <f t="shared" si="7"/>
        <v/>
      </c>
    </row>
    <row r="125" spans="1:6" x14ac:dyDescent="0.25">
      <c r="A125" s="32"/>
      <c r="B125" s="33"/>
      <c r="C125" s="32"/>
      <c r="D125" s="34" t="str">
        <f>IF(B125="Barra Fixa", IF(Dashboard!$E$5="Masculino", 4, 15), IF(B125="Meio Sugado", IF(Dashboard!$E$5="Masculino", 25, 20), IF(B125="Abdominal Remador", IF(Dashboard!$E$5="Masculino", 35, 25), IF(B125="Corrida 12 min", IF(Dashboard!$E$5="Masculino", 2200, 1900), ""))))</f>
        <v/>
      </c>
      <c r="E125" s="35" t="str">
        <f t="shared" si="6"/>
        <v/>
      </c>
      <c r="F125" s="36" t="str">
        <f t="shared" si="7"/>
        <v/>
      </c>
    </row>
    <row r="126" spans="1:6" x14ac:dyDescent="0.25">
      <c r="A126" s="30"/>
      <c r="B126" s="31"/>
      <c r="C126" s="30"/>
      <c r="D126" s="19" t="str">
        <f>IF(B126="Barra Fixa", IF(Dashboard!$E$5="Masculino", 4, 15), IF(B126="Meio Sugado", IF(Dashboard!$E$5="Masculino", 25, 20), IF(B126="Abdominal Remador", IF(Dashboard!$E$5="Masculino", 35, 25), IF(B126="Corrida 12 min", IF(Dashboard!$E$5="Masculino", 2200, 1900), ""))))</f>
        <v/>
      </c>
      <c r="E126" s="28" t="str">
        <f t="shared" si="6"/>
        <v/>
      </c>
      <c r="F126" s="29" t="str">
        <f t="shared" si="7"/>
        <v/>
      </c>
    </row>
    <row r="127" spans="1:6" x14ac:dyDescent="0.25">
      <c r="A127" s="32"/>
      <c r="B127" s="33"/>
      <c r="C127" s="32"/>
      <c r="D127" s="34" t="str">
        <f>IF(B127="Barra Fixa", IF(Dashboard!$E$5="Masculino", 4, 15), IF(B127="Meio Sugado", IF(Dashboard!$E$5="Masculino", 25, 20), IF(B127="Abdominal Remador", IF(Dashboard!$E$5="Masculino", 35, 25), IF(B127="Corrida 12 min", IF(Dashboard!$E$5="Masculino", 2200, 1900), ""))))</f>
        <v/>
      </c>
      <c r="E127" s="35" t="str">
        <f t="shared" si="6"/>
        <v/>
      </c>
      <c r="F127" s="36" t="str">
        <f t="shared" si="7"/>
        <v/>
      </c>
    </row>
    <row r="128" spans="1:6" x14ac:dyDescent="0.25">
      <c r="A128" s="30"/>
      <c r="B128" s="31"/>
      <c r="C128" s="30"/>
      <c r="D128" s="19" t="str">
        <f>IF(B128="Barra Fixa", IF(Dashboard!$E$5="Masculino", 4, 15), IF(B128="Meio Sugado", IF(Dashboard!$E$5="Masculino", 25, 20), IF(B128="Abdominal Remador", IF(Dashboard!$E$5="Masculino", 35, 25), IF(B128="Corrida 12 min", IF(Dashboard!$E$5="Masculino", 2200, 1900), ""))))</f>
        <v/>
      </c>
      <c r="E128" s="28" t="str">
        <f t="shared" si="6"/>
        <v/>
      </c>
      <c r="F128" s="29" t="str">
        <f t="shared" si="7"/>
        <v/>
      </c>
    </row>
    <row r="129" spans="1:6" x14ac:dyDescent="0.25">
      <c r="A129" s="32"/>
      <c r="B129" s="33"/>
      <c r="C129" s="32"/>
      <c r="D129" s="34" t="str">
        <f>IF(B129="Barra Fixa", IF(Dashboard!$E$5="Masculino", 4, 15), IF(B129="Meio Sugado", IF(Dashboard!$E$5="Masculino", 25, 20), IF(B129="Abdominal Remador", IF(Dashboard!$E$5="Masculino", 35, 25), IF(B129="Corrida 12 min", IF(Dashboard!$E$5="Masculino", 2200, 1900), ""))))</f>
        <v/>
      </c>
      <c r="E129" s="35" t="str">
        <f t="shared" si="6"/>
        <v/>
      </c>
      <c r="F129" s="36" t="str">
        <f t="shared" si="7"/>
        <v/>
      </c>
    </row>
    <row r="130" spans="1:6" x14ac:dyDescent="0.25">
      <c r="A130" s="30"/>
      <c r="B130" s="31"/>
      <c r="C130" s="30"/>
      <c r="D130" s="19" t="str">
        <f>IF(B130="Barra Fixa", IF(Dashboard!$E$5="Masculino", 4, 15), IF(B130="Meio Sugado", IF(Dashboard!$E$5="Masculino", 25, 20), IF(B130="Abdominal Remador", IF(Dashboard!$E$5="Masculino", 35, 25), IF(B130="Corrida 12 min", IF(Dashboard!$E$5="Masculino", 2200, 1900), ""))))</f>
        <v/>
      </c>
      <c r="E130" s="28" t="str">
        <f t="shared" ref="E130:E161" si="8">IF(OR(C130="",D130=""), "", C130/D130)</f>
        <v/>
      </c>
      <c r="F130" s="29" t="str">
        <f t="shared" ref="F130:F161" si="9">IF(OR(C130="",D130=""), "", IF(C130&gt;=D130, "META ALCANÇADA", "ABAIXO DA META"))</f>
        <v/>
      </c>
    </row>
    <row r="131" spans="1:6" x14ac:dyDescent="0.25">
      <c r="A131" s="32"/>
      <c r="B131" s="33"/>
      <c r="C131" s="32"/>
      <c r="D131" s="34" t="str">
        <f>IF(B131="Barra Fixa", IF(Dashboard!$E$5="Masculino", 4, 15), IF(B131="Meio Sugado", IF(Dashboard!$E$5="Masculino", 25, 20), IF(B131="Abdominal Remador", IF(Dashboard!$E$5="Masculino", 35, 25), IF(B131="Corrida 12 min", IF(Dashboard!$E$5="Masculino", 2200, 1900), ""))))</f>
        <v/>
      </c>
      <c r="E131" s="35" t="str">
        <f t="shared" si="8"/>
        <v/>
      </c>
      <c r="F131" s="36" t="str">
        <f t="shared" si="9"/>
        <v/>
      </c>
    </row>
    <row r="132" spans="1:6" x14ac:dyDescent="0.25">
      <c r="A132" s="30"/>
      <c r="B132" s="31"/>
      <c r="C132" s="30"/>
      <c r="D132" s="19" t="str">
        <f>IF(B132="Barra Fixa", IF(Dashboard!$E$5="Masculino", 4, 15), IF(B132="Meio Sugado", IF(Dashboard!$E$5="Masculino", 25, 20), IF(B132="Abdominal Remador", IF(Dashboard!$E$5="Masculino", 35, 25), IF(B132="Corrida 12 min", IF(Dashboard!$E$5="Masculino", 2200, 1900), ""))))</f>
        <v/>
      </c>
      <c r="E132" s="28" t="str">
        <f t="shared" si="8"/>
        <v/>
      </c>
      <c r="F132" s="29" t="str">
        <f t="shared" si="9"/>
        <v/>
      </c>
    </row>
    <row r="133" spans="1:6" x14ac:dyDescent="0.25">
      <c r="A133" s="32"/>
      <c r="B133" s="33"/>
      <c r="C133" s="32"/>
      <c r="D133" s="34" t="str">
        <f>IF(B133="Barra Fixa", IF(Dashboard!$E$5="Masculino", 4, 15), IF(B133="Meio Sugado", IF(Dashboard!$E$5="Masculino", 25, 20), IF(B133="Abdominal Remador", IF(Dashboard!$E$5="Masculino", 35, 25), IF(B133="Corrida 12 min", IF(Dashboard!$E$5="Masculino", 2200, 1900), ""))))</f>
        <v/>
      </c>
      <c r="E133" s="35" t="str">
        <f t="shared" si="8"/>
        <v/>
      </c>
      <c r="F133" s="36" t="str">
        <f t="shared" si="9"/>
        <v/>
      </c>
    </row>
    <row r="134" spans="1:6" x14ac:dyDescent="0.25">
      <c r="A134" s="30"/>
      <c r="B134" s="31"/>
      <c r="C134" s="30"/>
      <c r="D134" s="19" t="str">
        <f>IF(B134="Barra Fixa", IF(Dashboard!$E$5="Masculino", 4, 15), IF(B134="Meio Sugado", IF(Dashboard!$E$5="Masculino", 25, 20), IF(B134="Abdominal Remador", IF(Dashboard!$E$5="Masculino", 35, 25), IF(B134="Corrida 12 min", IF(Dashboard!$E$5="Masculino", 2200, 1900), ""))))</f>
        <v/>
      </c>
      <c r="E134" s="28" t="str">
        <f t="shared" si="8"/>
        <v/>
      </c>
      <c r="F134" s="29" t="str">
        <f t="shared" si="9"/>
        <v/>
      </c>
    </row>
    <row r="135" spans="1:6" x14ac:dyDescent="0.25">
      <c r="A135" s="32"/>
      <c r="B135" s="33"/>
      <c r="C135" s="32"/>
      <c r="D135" s="34" t="str">
        <f>IF(B135="Barra Fixa", IF(Dashboard!$E$5="Masculino", 4, 15), IF(B135="Meio Sugado", IF(Dashboard!$E$5="Masculino", 25, 20), IF(B135="Abdominal Remador", IF(Dashboard!$E$5="Masculino", 35, 25), IF(B135="Corrida 12 min", IF(Dashboard!$E$5="Masculino", 2200, 1900), ""))))</f>
        <v/>
      </c>
      <c r="E135" s="35" t="str">
        <f t="shared" si="8"/>
        <v/>
      </c>
      <c r="F135" s="36" t="str">
        <f t="shared" si="9"/>
        <v/>
      </c>
    </row>
    <row r="136" spans="1:6" x14ac:dyDescent="0.25">
      <c r="A136" s="30"/>
      <c r="B136" s="31"/>
      <c r="C136" s="30"/>
      <c r="D136" s="19" t="str">
        <f>IF(B136="Barra Fixa", IF(Dashboard!$E$5="Masculino", 4, 15), IF(B136="Meio Sugado", IF(Dashboard!$E$5="Masculino", 25, 20), IF(B136="Abdominal Remador", IF(Dashboard!$E$5="Masculino", 35, 25), IF(B136="Corrida 12 min", IF(Dashboard!$E$5="Masculino", 2200, 1900), ""))))</f>
        <v/>
      </c>
      <c r="E136" s="28" t="str">
        <f t="shared" si="8"/>
        <v/>
      </c>
      <c r="F136" s="29" t="str">
        <f t="shared" si="9"/>
        <v/>
      </c>
    </row>
    <row r="137" spans="1:6" x14ac:dyDescent="0.25">
      <c r="A137" s="32"/>
      <c r="B137" s="33"/>
      <c r="C137" s="32"/>
      <c r="D137" s="34" t="str">
        <f>IF(B137="Barra Fixa", IF(Dashboard!$E$5="Masculino", 4, 15), IF(B137="Meio Sugado", IF(Dashboard!$E$5="Masculino", 25, 20), IF(B137="Abdominal Remador", IF(Dashboard!$E$5="Masculino", 35, 25), IF(B137="Corrida 12 min", IF(Dashboard!$E$5="Masculino", 2200, 1900), ""))))</f>
        <v/>
      </c>
      <c r="E137" s="35" t="str">
        <f t="shared" si="8"/>
        <v/>
      </c>
      <c r="F137" s="36" t="str">
        <f t="shared" si="9"/>
        <v/>
      </c>
    </row>
    <row r="138" spans="1:6" x14ac:dyDescent="0.25">
      <c r="A138" s="30"/>
      <c r="B138" s="31"/>
      <c r="C138" s="30"/>
      <c r="D138" s="19" t="str">
        <f>IF(B138="Barra Fixa", IF(Dashboard!$E$5="Masculino", 4, 15), IF(B138="Meio Sugado", IF(Dashboard!$E$5="Masculino", 25, 20), IF(B138="Abdominal Remador", IF(Dashboard!$E$5="Masculino", 35, 25), IF(B138="Corrida 12 min", IF(Dashboard!$E$5="Masculino", 2200, 1900), ""))))</f>
        <v/>
      </c>
      <c r="E138" s="28" t="str">
        <f t="shared" si="8"/>
        <v/>
      </c>
      <c r="F138" s="29" t="str">
        <f t="shared" si="9"/>
        <v/>
      </c>
    </row>
    <row r="139" spans="1:6" x14ac:dyDescent="0.25">
      <c r="A139" s="32"/>
      <c r="B139" s="33"/>
      <c r="C139" s="32"/>
      <c r="D139" s="34" t="str">
        <f>IF(B139="Barra Fixa", IF(Dashboard!$E$5="Masculino", 4, 15), IF(B139="Meio Sugado", IF(Dashboard!$E$5="Masculino", 25, 20), IF(B139="Abdominal Remador", IF(Dashboard!$E$5="Masculino", 35, 25), IF(B139="Corrida 12 min", IF(Dashboard!$E$5="Masculino", 2200, 1900), ""))))</f>
        <v/>
      </c>
      <c r="E139" s="35" t="str">
        <f t="shared" si="8"/>
        <v/>
      </c>
      <c r="F139" s="36" t="str">
        <f t="shared" si="9"/>
        <v/>
      </c>
    </row>
    <row r="140" spans="1:6" x14ac:dyDescent="0.25">
      <c r="A140" s="30"/>
      <c r="B140" s="31"/>
      <c r="C140" s="30"/>
      <c r="D140" s="19" t="str">
        <f>IF(B140="Barra Fixa", IF(Dashboard!$E$5="Masculino", 4, 15), IF(B140="Meio Sugado", IF(Dashboard!$E$5="Masculino", 25, 20), IF(B140="Abdominal Remador", IF(Dashboard!$E$5="Masculino", 35, 25), IF(B140="Corrida 12 min", IF(Dashboard!$E$5="Masculino", 2200, 1900), ""))))</f>
        <v/>
      </c>
      <c r="E140" s="28" t="str">
        <f t="shared" si="8"/>
        <v/>
      </c>
      <c r="F140" s="29" t="str">
        <f t="shared" si="9"/>
        <v/>
      </c>
    </row>
    <row r="141" spans="1:6" x14ac:dyDescent="0.25">
      <c r="A141" s="32"/>
      <c r="B141" s="33"/>
      <c r="C141" s="32"/>
      <c r="D141" s="34" t="str">
        <f>IF(B141="Barra Fixa", IF(Dashboard!$E$5="Masculino", 4, 15), IF(B141="Meio Sugado", IF(Dashboard!$E$5="Masculino", 25, 20), IF(B141="Abdominal Remador", IF(Dashboard!$E$5="Masculino", 35, 25), IF(B141="Corrida 12 min", IF(Dashboard!$E$5="Masculino", 2200, 1900), ""))))</f>
        <v/>
      </c>
      <c r="E141" s="35" t="str">
        <f t="shared" si="8"/>
        <v/>
      </c>
      <c r="F141" s="36" t="str">
        <f t="shared" si="9"/>
        <v/>
      </c>
    </row>
    <row r="142" spans="1:6" x14ac:dyDescent="0.25">
      <c r="A142" s="30"/>
      <c r="B142" s="31"/>
      <c r="C142" s="30"/>
      <c r="D142" s="19" t="str">
        <f>IF(B142="Barra Fixa", IF(Dashboard!$E$5="Masculino", 4, 15), IF(B142="Meio Sugado", IF(Dashboard!$E$5="Masculino", 25, 20), IF(B142="Abdominal Remador", IF(Dashboard!$E$5="Masculino", 35, 25), IF(B142="Corrida 12 min", IF(Dashboard!$E$5="Masculino", 2200, 1900), ""))))</f>
        <v/>
      </c>
      <c r="E142" s="28" t="str">
        <f t="shared" si="8"/>
        <v/>
      </c>
      <c r="F142" s="29" t="str">
        <f t="shared" si="9"/>
        <v/>
      </c>
    </row>
    <row r="143" spans="1:6" x14ac:dyDescent="0.25">
      <c r="A143" s="32"/>
      <c r="B143" s="33"/>
      <c r="C143" s="32"/>
      <c r="D143" s="34" t="str">
        <f>IF(B143="Barra Fixa", IF(Dashboard!$E$5="Masculino", 4, 15), IF(B143="Meio Sugado", IF(Dashboard!$E$5="Masculino", 25, 20), IF(B143="Abdominal Remador", IF(Dashboard!$E$5="Masculino", 35, 25), IF(B143="Corrida 12 min", IF(Dashboard!$E$5="Masculino", 2200, 1900), ""))))</f>
        <v/>
      </c>
      <c r="E143" s="35" t="str">
        <f t="shared" si="8"/>
        <v/>
      </c>
      <c r="F143" s="36" t="str">
        <f t="shared" si="9"/>
        <v/>
      </c>
    </row>
    <row r="144" spans="1:6" x14ac:dyDescent="0.25">
      <c r="A144" s="30"/>
      <c r="B144" s="31"/>
      <c r="C144" s="30"/>
      <c r="D144" s="19" t="str">
        <f>IF(B144="Barra Fixa", IF(Dashboard!$E$5="Masculino", 4, 15), IF(B144="Meio Sugado", IF(Dashboard!$E$5="Masculino", 25, 20), IF(B144="Abdominal Remador", IF(Dashboard!$E$5="Masculino", 35, 25), IF(B144="Corrida 12 min", IF(Dashboard!$E$5="Masculino", 2200, 1900), ""))))</f>
        <v/>
      </c>
      <c r="E144" s="28" t="str">
        <f t="shared" si="8"/>
        <v/>
      </c>
      <c r="F144" s="29" t="str">
        <f t="shared" si="9"/>
        <v/>
      </c>
    </row>
    <row r="145" spans="1:6" x14ac:dyDescent="0.25">
      <c r="A145" s="32"/>
      <c r="B145" s="33"/>
      <c r="C145" s="32"/>
      <c r="D145" s="34" t="str">
        <f>IF(B145="Barra Fixa", IF(Dashboard!$E$5="Masculino", 4, 15), IF(B145="Meio Sugado", IF(Dashboard!$E$5="Masculino", 25, 20), IF(B145="Abdominal Remador", IF(Dashboard!$E$5="Masculino", 35, 25), IF(B145="Corrida 12 min", IF(Dashboard!$E$5="Masculino", 2200, 1900), ""))))</f>
        <v/>
      </c>
      <c r="E145" s="35" t="str">
        <f t="shared" si="8"/>
        <v/>
      </c>
      <c r="F145" s="36" t="str">
        <f t="shared" si="9"/>
        <v/>
      </c>
    </row>
    <row r="146" spans="1:6" x14ac:dyDescent="0.25">
      <c r="A146" s="30"/>
      <c r="B146" s="31"/>
      <c r="C146" s="30"/>
      <c r="D146" s="19" t="str">
        <f>IF(B146="Barra Fixa", IF(Dashboard!$E$5="Masculino", 4, 15), IF(B146="Meio Sugado", IF(Dashboard!$E$5="Masculino", 25, 20), IF(B146="Abdominal Remador", IF(Dashboard!$E$5="Masculino", 35, 25), IF(B146="Corrida 12 min", IF(Dashboard!$E$5="Masculino", 2200, 1900), ""))))</f>
        <v/>
      </c>
      <c r="E146" s="28" t="str">
        <f t="shared" si="8"/>
        <v/>
      </c>
      <c r="F146" s="29" t="str">
        <f t="shared" si="9"/>
        <v/>
      </c>
    </row>
    <row r="147" spans="1:6" x14ac:dyDescent="0.25">
      <c r="A147" s="32"/>
      <c r="B147" s="33"/>
      <c r="C147" s="32"/>
      <c r="D147" s="34" t="str">
        <f>IF(B147="Barra Fixa", IF(Dashboard!$E$5="Masculino", 4, 15), IF(B147="Meio Sugado", IF(Dashboard!$E$5="Masculino", 25, 20), IF(B147="Abdominal Remador", IF(Dashboard!$E$5="Masculino", 35, 25), IF(B147="Corrida 12 min", IF(Dashboard!$E$5="Masculino", 2200, 1900), ""))))</f>
        <v/>
      </c>
      <c r="E147" s="35" t="str">
        <f t="shared" si="8"/>
        <v/>
      </c>
      <c r="F147" s="36" t="str">
        <f t="shared" si="9"/>
        <v/>
      </c>
    </row>
    <row r="148" spans="1:6" x14ac:dyDescent="0.25">
      <c r="A148" s="30"/>
      <c r="B148" s="31"/>
      <c r="C148" s="30"/>
      <c r="D148" s="19" t="str">
        <f>IF(B148="Barra Fixa", IF(Dashboard!$E$5="Masculino", 4, 15), IF(B148="Meio Sugado", IF(Dashboard!$E$5="Masculino", 25, 20), IF(B148="Abdominal Remador", IF(Dashboard!$E$5="Masculino", 35, 25), IF(B148="Corrida 12 min", IF(Dashboard!$E$5="Masculino", 2200, 1900), ""))))</f>
        <v/>
      </c>
      <c r="E148" s="28" t="str">
        <f t="shared" si="8"/>
        <v/>
      </c>
      <c r="F148" s="29" t="str">
        <f t="shared" si="9"/>
        <v/>
      </c>
    </row>
    <row r="149" spans="1:6" x14ac:dyDescent="0.25">
      <c r="A149" s="32"/>
      <c r="B149" s="33"/>
      <c r="C149" s="32"/>
      <c r="D149" s="34" t="str">
        <f>IF(B149="Barra Fixa", IF(Dashboard!$E$5="Masculino", 4, 15), IF(B149="Meio Sugado", IF(Dashboard!$E$5="Masculino", 25, 20), IF(B149="Abdominal Remador", IF(Dashboard!$E$5="Masculino", 35, 25), IF(B149="Corrida 12 min", IF(Dashboard!$E$5="Masculino", 2200, 1900), ""))))</f>
        <v/>
      </c>
      <c r="E149" s="35" t="str">
        <f t="shared" si="8"/>
        <v/>
      </c>
      <c r="F149" s="36" t="str">
        <f t="shared" si="9"/>
        <v/>
      </c>
    </row>
    <row r="150" spans="1:6" x14ac:dyDescent="0.25">
      <c r="A150" s="30"/>
      <c r="B150" s="31"/>
      <c r="C150" s="30"/>
      <c r="D150" s="19" t="str">
        <f>IF(B150="Barra Fixa", IF(Dashboard!$E$5="Masculino", 4, 15), IF(B150="Meio Sugado", IF(Dashboard!$E$5="Masculino", 25, 20), IF(B150="Abdominal Remador", IF(Dashboard!$E$5="Masculino", 35, 25), IF(B150="Corrida 12 min", IF(Dashboard!$E$5="Masculino", 2200, 1900), ""))))</f>
        <v/>
      </c>
      <c r="E150" s="28" t="str">
        <f t="shared" si="8"/>
        <v/>
      </c>
      <c r="F150" s="29" t="str">
        <f t="shared" si="9"/>
        <v/>
      </c>
    </row>
    <row r="151" spans="1:6" x14ac:dyDescent="0.25">
      <c r="A151" s="32"/>
      <c r="B151" s="33"/>
      <c r="C151" s="32"/>
      <c r="D151" s="34" t="str">
        <f>IF(B151="Barra Fixa", IF(Dashboard!$E$5="Masculino", 4, 15), IF(B151="Meio Sugado", IF(Dashboard!$E$5="Masculino", 25, 20), IF(B151="Abdominal Remador", IF(Dashboard!$E$5="Masculino", 35, 25), IF(B151="Corrida 12 min", IF(Dashboard!$E$5="Masculino", 2200, 1900), ""))))</f>
        <v/>
      </c>
      <c r="E151" s="35" t="str">
        <f t="shared" si="8"/>
        <v/>
      </c>
      <c r="F151" s="36" t="str">
        <f t="shared" si="9"/>
        <v/>
      </c>
    </row>
    <row r="152" spans="1:6" x14ac:dyDescent="0.25">
      <c r="A152" s="30"/>
      <c r="B152" s="31"/>
      <c r="C152" s="30"/>
      <c r="D152" s="19" t="str">
        <f>IF(B152="Barra Fixa", IF(Dashboard!$E$5="Masculino", 4, 15), IF(B152="Meio Sugado", IF(Dashboard!$E$5="Masculino", 25, 20), IF(B152="Abdominal Remador", IF(Dashboard!$E$5="Masculino", 35, 25), IF(B152="Corrida 12 min", IF(Dashboard!$E$5="Masculino", 2200, 1900), ""))))</f>
        <v/>
      </c>
      <c r="E152" s="28" t="str">
        <f t="shared" si="8"/>
        <v/>
      </c>
      <c r="F152" s="29" t="str">
        <f t="shared" si="9"/>
        <v/>
      </c>
    </row>
    <row r="153" spans="1:6" x14ac:dyDescent="0.25">
      <c r="A153" s="32"/>
      <c r="B153" s="33"/>
      <c r="C153" s="32"/>
      <c r="D153" s="34" t="str">
        <f>IF(B153="Barra Fixa", IF(Dashboard!$E$5="Masculino", 4, 15), IF(B153="Meio Sugado", IF(Dashboard!$E$5="Masculino", 25, 20), IF(B153="Abdominal Remador", IF(Dashboard!$E$5="Masculino", 35, 25), IF(B153="Corrida 12 min", IF(Dashboard!$E$5="Masculino", 2200, 1900), ""))))</f>
        <v/>
      </c>
      <c r="E153" s="35" t="str">
        <f t="shared" si="8"/>
        <v/>
      </c>
      <c r="F153" s="36" t="str">
        <f t="shared" si="9"/>
        <v/>
      </c>
    </row>
    <row r="154" spans="1:6" x14ac:dyDescent="0.25">
      <c r="A154" s="30"/>
      <c r="B154" s="31"/>
      <c r="C154" s="30"/>
      <c r="D154" s="19" t="str">
        <f>IF(B154="Barra Fixa", IF(Dashboard!$E$5="Masculino", 4, 15), IF(B154="Meio Sugado", IF(Dashboard!$E$5="Masculino", 25, 20), IF(B154="Abdominal Remador", IF(Dashboard!$E$5="Masculino", 35, 25), IF(B154="Corrida 12 min", IF(Dashboard!$E$5="Masculino", 2200, 1900), ""))))</f>
        <v/>
      </c>
      <c r="E154" s="28" t="str">
        <f t="shared" si="8"/>
        <v/>
      </c>
      <c r="F154" s="29" t="str">
        <f t="shared" si="9"/>
        <v/>
      </c>
    </row>
    <row r="155" spans="1:6" x14ac:dyDescent="0.25">
      <c r="A155" s="32"/>
      <c r="B155" s="33"/>
      <c r="C155" s="32"/>
      <c r="D155" s="34" t="str">
        <f>IF(B155="Barra Fixa", IF(Dashboard!$E$5="Masculino", 4, 15), IF(B155="Meio Sugado", IF(Dashboard!$E$5="Masculino", 25, 20), IF(B155="Abdominal Remador", IF(Dashboard!$E$5="Masculino", 35, 25), IF(B155="Corrida 12 min", IF(Dashboard!$E$5="Masculino", 2200, 1900), ""))))</f>
        <v/>
      </c>
      <c r="E155" s="35" t="str">
        <f t="shared" si="8"/>
        <v/>
      </c>
      <c r="F155" s="36" t="str">
        <f t="shared" si="9"/>
        <v/>
      </c>
    </row>
    <row r="156" spans="1:6" x14ac:dyDescent="0.25">
      <c r="A156" s="30"/>
      <c r="B156" s="31"/>
      <c r="C156" s="30"/>
      <c r="D156" s="19" t="str">
        <f>IF(B156="Barra Fixa", IF(Dashboard!$E$5="Masculino", 4, 15), IF(B156="Meio Sugado", IF(Dashboard!$E$5="Masculino", 25, 20), IF(B156="Abdominal Remador", IF(Dashboard!$E$5="Masculino", 35, 25), IF(B156="Corrida 12 min", IF(Dashboard!$E$5="Masculino", 2200, 1900), ""))))</f>
        <v/>
      </c>
      <c r="E156" s="28" t="str">
        <f t="shared" si="8"/>
        <v/>
      </c>
      <c r="F156" s="29" t="str">
        <f t="shared" si="9"/>
        <v/>
      </c>
    </row>
    <row r="157" spans="1:6" x14ac:dyDescent="0.25">
      <c r="A157" s="32"/>
      <c r="B157" s="33"/>
      <c r="C157" s="32"/>
      <c r="D157" s="34" t="str">
        <f>IF(B157="Barra Fixa", IF(Dashboard!$E$5="Masculino", 4, 15), IF(B157="Meio Sugado", IF(Dashboard!$E$5="Masculino", 25, 20), IF(B157="Abdominal Remador", IF(Dashboard!$E$5="Masculino", 35, 25), IF(B157="Corrida 12 min", IF(Dashboard!$E$5="Masculino", 2200, 1900), ""))))</f>
        <v/>
      </c>
      <c r="E157" s="35" t="str">
        <f t="shared" si="8"/>
        <v/>
      </c>
      <c r="F157" s="36" t="str">
        <f t="shared" si="9"/>
        <v/>
      </c>
    </row>
    <row r="158" spans="1:6" x14ac:dyDescent="0.25">
      <c r="A158" s="30"/>
      <c r="B158" s="31"/>
      <c r="C158" s="30"/>
      <c r="D158" s="19" t="str">
        <f>IF(B158="Barra Fixa", IF(Dashboard!$E$5="Masculino", 4, 15), IF(B158="Meio Sugado", IF(Dashboard!$E$5="Masculino", 25, 20), IF(B158="Abdominal Remador", IF(Dashboard!$E$5="Masculino", 35, 25), IF(B158="Corrida 12 min", IF(Dashboard!$E$5="Masculino", 2200, 1900), ""))))</f>
        <v/>
      </c>
      <c r="E158" s="28" t="str">
        <f t="shared" si="8"/>
        <v/>
      </c>
      <c r="F158" s="29" t="str">
        <f t="shared" si="9"/>
        <v/>
      </c>
    </row>
    <row r="159" spans="1:6" x14ac:dyDescent="0.25">
      <c r="A159" s="32"/>
      <c r="B159" s="33"/>
      <c r="C159" s="32"/>
      <c r="D159" s="34" t="str">
        <f>IF(B159="Barra Fixa", IF(Dashboard!$E$5="Masculino", 4, 15), IF(B159="Meio Sugado", IF(Dashboard!$E$5="Masculino", 25, 20), IF(B159="Abdominal Remador", IF(Dashboard!$E$5="Masculino", 35, 25), IF(B159="Corrida 12 min", IF(Dashboard!$E$5="Masculino", 2200, 1900), ""))))</f>
        <v/>
      </c>
      <c r="E159" s="35" t="str">
        <f t="shared" si="8"/>
        <v/>
      </c>
      <c r="F159" s="36" t="str">
        <f t="shared" si="9"/>
        <v/>
      </c>
    </row>
    <row r="160" spans="1:6" x14ac:dyDescent="0.25">
      <c r="A160" s="30"/>
      <c r="B160" s="31"/>
      <c r="C160" s="30"/>
      <c r="D160" s="19" t="str">
        <f>IF(B160="Barra Fixa", IF(Dashboard!$E$5="Masculino", 4, 15), IF(B160="Meio Sugado", IF(Dashboard!$E$5="Masculino", 25, 20), IF(B160="Abdominal Remador", IF(Dashboard!$E$5="Masculino", 35, 25), IF(B160="Corrida 12 min", IF(Dashboard!$E$5="Masculino", 2200, 1900), ""))))</f>
        <v/>
      </c>
      <c r="E160" s="28" t="str">
        <f t="shared" si="8"/>
        <v/>
      </c>
      <c r="F160" s="29" t="str">
        <f t="shared" si="9"/>
        <v/>
      </c>
    </row>
    <row r="161" spans="1:6" x14ac:dyDescent="0.25">
      <c r="A161" s="32"/>
      <c r="B161" s="33"/>
      <c r="C161" s="32"/>
      <c r="D161" s="34" t="str">
        <f>IF(B161="Barra Fixa", IF(Dashboard!$E$5="Masculino", 4, 15), IF(B161="Meio Sugado", IF(Dashboard!$E$5="Masculino", 25, 20), IF(B161="Abdominal Remador", IF(Dashboard!$E$5="Masculino", 35, 25), IF(B161="Corrida 12 min", IF(Dashboard!$E$5="Masculino", 2200, 1900), ""))))</f>
        <v/>
      </c>
      <c r="E161" s="35" t="str">
        <f t="shared" si="8"/>
        <v/>
      </c>
      <c r="F161" s="36" t="str">
        <f t="shared" si="9"/>
        <v/>
      </c>
    </row>
    <row r="162" spans="1:6" x14ac:dyDescent="0.25">
      <c r="A162" s="30"/>
      <c r="B162" s="31"/>
      <c r="C162" s="30"/>
      <c r="D162" s="19" t="str">
        <f>IF(B162="Barra Fixa", IF(Dashboard!$E$5="Masculino", 4, 15), IF(B162="Meio Sugado", IF(Dashboard!$E$5="Masculino", 25, 20), IF(B162="Abdominal Remador", IF(Dashboard!$E$5="Masculino", 35, 25), IF(B162="Corrida 12 min", IF(Dashboard!$E$5="Masculino", 2200, 1900), ""))))</f>
        <v/>
      </c>
      <c r="E162" s="28" t="str">
        <f t="shared" ref="E162:E193" si="10">IF(OR(C162="",D162=""), "", C162/D162)</f>
        <v/>
      </c>
      <c r="F162" s="29" t="str">
        <f t="shared" ref="F162:F193" si="11">IF(OR(C162="",D162=""), "", IF(C162&gt;=D162, "META ALCANÇADA", "ABAIXO DA META"))</f>
        <v/>
      </c>
    </row>
    <row r="163" spans="1:6" x14ac:dyDescent="0.25">
      <c r="A163" s="32"/>
      <c r="B163" s="33"/>
      <c r="C163" s="32"/>
      <c r="D163" s="34" t="str">
        <f>IF(B163="Barra Fixa", IF(Dashboard!$E$5="Masculino", 4, 15), IF(B163="Meio Sugado", IF(Dashboard!$E$5="Masculino", 25, 20), IF(B163="Abdominal Remador", IF(Dashboard!$E$5="Masculino", 35, 25), IF(B163="Corrida 12 min", IF(Dashboard!$E$5="Masculino", 2200, 1900), ""))))</f>
        <v/>
      </c>
      <c r="E163" s="35" t="str">
        <f t="shared" si="10"/>
        <v/>
      </c>
      <c r="F163" s="36" t="str">
        <f t="shared" si="11"/>
        <v/>
      </c>
    </row>
    <row r="164" spans="1:6" x14ac:dyDescent="0.25">
      <c r="A164" s="30"/>
      <c r="B164" s="31"/>
      <c r="C164" s="30"/>
      <c r="D164" s="19" t="str">
        <f>IF(B164="Barra Fixa", IF(Dashboard!$E$5="Masculino", 4, 15), IF(B164="Meio Sugado", IF(Dashboard!$E$5="Masculino", 25, 20), IF(B164="Abdominal Remador", IF(Dashboard!$E$5="Masculino", 35, 25), IF(B164="Corrida 12 min", IF(Dashboard!$E$5="Masculino", 2200, 1900), ""))))</f>
        <v/>
      </c>
      <c r="E164" s="28" t="str">
        <f t="shared" si="10"/>
        <v/>
      </c>
      <c r="F164" s="29" t="str">
        <f t="shared" si="11"/>
        <v/>
      </c>
    </row>
    <row r="165" spans="1:6" x14ac:dyDescent="0.25">
      <c r="A165" s="32"/>
      <c r="B165" s="33"/>
      <c r="C165" s="32"/>
      <c r="D165" s="34" t="str">
        <f>IF(B165="Barra Fixa", IF(Dashboard!$E$5="Masculino", 4, 15), IF(B165="Meio Sugado", IF(Dashboard!$E$5="Masculino", 25, 20), IF(B165="Abdominal Remador", IF(Dashboard!$E$5="Masculino", 35, 25), IF(B165="Corrida 12 min", IF(Dashboard!$E$5="Masculino", 2200, 1900), ""))))</f>
        <v/>
      </c>
      <c r="E165" s="35" t="str">
        <f t="shared" si="10"/>
        <v/>
      </c>
      <c r="F165" s="36" t="str">
        <f t="shared" si="11"/>
        <v/>
      </c>
    </row>
    <row r="166" spans="1:6" x14ac:dyDescent="0.25">
      <c r="A166" s="30"/>
      <c r="B166" s="31"/>
      <c r="C166" s="30"/>
      <c r="D166" s="19" t="str">
        <f>IF(B166="Barra Fixa", IF(Dashboard!$E$5="Masculino", 4, 15), IF(B166="Meio Sugado", IF(Dashboard!$E$5="Masculino", 25, 20), IF(B166="Abdominal Remador", IF(Dashboard!$E$5="Masculino", 35, 25), IF(B166="Corrida 12 min", IF(Dashboard!$E$5="Masculino", 2200, 1900), ""))))</f>
        <v/>
      </c>
      <c r="E166" s="28" t="str">
        <f t="shared" si="10"/>
        <v/>
      </c>
      <c r="F166" s="29" t="str">
        <f t="shared" si="11"/>
        <v/>
      </c>
    </row>
    <row r="167" spans="1:6" x14ac:dyDescent="0.25">
      <c r="A167" s="32"/>
      <c r="B167" s="33"/>
      <c r="C167" s="32"/>
      <c r="D167" s="34" t="str">
        <f>IF(B167="Barra Fixa", IF(Dashboard!$E$5="Masculino", 4, 15), IF(B167="Meio Sugado", IF(Dashboard!$E$5="Masculino", 25, 20), IF(B167="Abdominal Remador", IF(Dashboard!$E$5="Masculino", 35, 25), IF(B167="Corrida 12 min", IF(Dashboard!$E$5="Masculino", 2200, 1900), ""))))</f>
        <v/>
      </c>
      <c r="E167" s="35" t="str">
        <f t="shared" si="10"/>
        <v/>
      </c>
      <c r="F167" s="36" t="str">
        <f t="shared" si="11"/>
        <v/>
      </c>
    </row>
    <row r="168" spans="1:6" x14ac:dyDescent="0.25">
      <c r="A168" s="30"/>
      <c r="B168" s="31"/>
      <c r="C168" s="30"/>
      <c r="D168" s="19" t="str">
        <f>IF(B168="Barra Fixa", IF(Dashboard!$E$5="Masculino", 4, 15), IF(B168="Meio Sugado", IF(Dashboard!$E$5="Masculino", 25, 20), IF(B168="Abdominal Remador", IF(Dashboard!$E$5="Masculino", 35, 25), IF(B168="Corrida 12 min", IF(Dashboard!$E$5="Masculino", 2200, 1900), ""))))</f>
        <v/>
      </c>
      <c r="E168" s="28" t="str">
        <f t="shared" si="10"/>
        <v/>
      </c>
      <c r="F168" s="29" t="str">
        <f t="shared" si="11"/>
        <v/>
      </c>
    </row>
    <row r="169" spans="1:6" x14ac:dyDescent="0.25">
      <c r="A169" s="32"/>
      <c r="B169" s="33"/>
      <c r="C169" s="32"/>
      <c r="D169" s="34" t="str">
        <f>IF(B169="Barra Fixa", IF(Dashboard!$E$5="Masculino", 4, 15), IF(B169="Meio Sugado", IF(Dashboard!$E$5="Masculino", 25, 20), IF(B169="Abdominal Remador", IF(Dashboard!$E$5="Masculino", 35, 25), IF(B169="Corrida 12 min", IF(Dashboard!$E$5="Masculino", 2200, 1900), ""))))</f>
        <v/>
      </c>
      <c r="E169" s="35" t="str">
        <f t="shared" si="10"/>
        <v/>
      </c>
      <c r="F169" s="36" t="str">
        <f t="shared" si="11"/>
        <v/>
      </c>
    </row>
    <row r="170" spans="1:6" x14ac:dyDescent="0.25">
      <c r="A170" s="30"/>
      <c r="B170" s="31"/>
      <c r="C170" s="30"/>
      <c r="D170" s="19" t="str">
        <f>IF(B170="Barra Fixa", IF(Dashboard!$E$5="Masculino", 4, 15), IF(B170="Meio Sugado", IF(Dashboard!$E$5="Masculino", 25, 20), IF(B170="Abdominal Remador", IF(Dashboard!$E$5="Masculino", 35, 25), IF(B170="Corrida 12 min", IF(Dashboard!$E$5="Masculino", 2200, 1900), ""))))</f>
        <v/>
      </c>
      <c r="E170" s="28" t="str">
        <f t="shared" si="10"/>
        <v/>
      </c>
      <c r="F170" s="29" t="str">
        <f t="shared" si="11"/>
        <v/>
      </c>
    </row>
    <row r="171" spans="1:6" x14ac:dyDescent="0.25">
      <c r="A171" s="32"/>
      <c r="B171" s="33"/>
      <c r="C171" s="32"/>
      <c r="D171" s="34" t="str">
        <f>IF(B171="Barra Fixa", IF(Dashboard!$E$5="Masculino", 4, 15), IF(B171="Meio Sugado", IF(Dashboard!$E$5="Masculino", 25, 20), IF(B171="Abdominal Remador", IF(Dashboard!$E$5="Masculino", 35, 25), IF(B171="Corrida 12 min", IF(Dashboard!$E$5="Masculino", 2200, 1900), ""))))</f>
        <v/>
      </c>
      <c r="E171" s="35" t="str">
        <f t="shared" si="10"/>
        <v/>
      </c>
      <c r="F171" s="36" t="str">
        <f t="shared" si="11"/>
        <v/>
      </c>
    </row>
    <row r="172" spans="1:6" x14ac:dyDescent="0.25">
      <c r="A172" s="30"/>
      <c r="B172" s="31"/>
      <c r="C172" s="30"/>
      <c r="D172" s="19" t="str">
        <f>IF(B172="Barra Fixa", IF(Dashboard!$E$5="Masculino", 4, 15), IF(B172="Meio Sugado", IF(Dashboard!$E$5="Masculino", 25, 20), IF(B172="Abdominal Remador", IF(Dashboard!$E$5="Masculino", 35, 25), IF(B172="Corrida 12 min", IF(Dashboard!$E$5="Masculino", 2200, 1900), ""))))</f>
        <v/>
      </c>
      <c r="E172" s="28" t="str">
        <f t="shared" si="10"/>
        <v/>
      </c>
      <c r="F172" s="29" t="str">
        <f t="shared" si="11"/>
        <v/>
      </c>
    </row>
    <row r="173" spans="1:6" x14ac:dyDescent="0.25">
      <c r="A173" s="32"/>
      <c r="B173" s="33"/>
      <c r="C173" s="32"/>
      <c r="D173" s="34" t="str">
        <f>IF(B173="Barra Fixa", IF(Dashboard!$E$5="Masculino", 4, 15), IF(B173="Meio Sugado", IF(Dashboard!$E$5="Masculino", 25, 20), IF(B173="Abdominal Remador", IF(Dashboard!$E$5="Masculino", 35, 25), IF(B173="Corrida 12 min", IF(Dashboard!$E$5="Masculino", 2200, 1900), ""))))</f>
        <v/>
      </c>
      <c r="E173" s="35" t="str">
        <f t="shared" si="10"/>
        <v/>
      </c>
      <c r="F173" s="36" t="str">
        <f t="shared" si="11"/>
        <v/>
      </c>
    </row>
    <row r="174" spans="1:6" x14ac:dyDescent="0.25">
      <c r="A174" s="30"/>
      <c r="B174" s="31"/>
      <c r="C174" s="30"/>
      <c r="D174" s="19" t="str">
        <f>IF(B174="Barra Fixa", IF(Dashboard!$E$5="Masculino", 4, 15), IF(B174="Meio Sugado", IF(Dashboard!$E$5="Masculino", 25, 20), IF(B174="Abdominal Remador", IF(Dashboard!$E$5="Masculino", 35, 25), IF(B174="Corrida 12 min", IF(Dashboard!$E$5="Masculino", 2200, 1900), ""))))</f>
        <v/>
      </c>
      <c r="E174" s="28" t="str">
        <f t="shared" si="10"/>
        <v/>
      </c>
      <c r="F174" s="29" t="str">
        <f t="shared" si="11"/>
        <v/>
      </c>
    </row>
    <row r="175" spans="1:6" x14ac:dyDescent="0.25">
      <c r="A175" s="32"/>
      <c r="B175" s="33"/>
      <c r="C175" s="32"/>
      <c r="D175" s="34" t="str">
        <f>IF(B175="Barra Fixa", IF(Dashboard!$E$5="Masculino", 4, 15), IF(B175="Meio Sugado", IF(Dashboard!$E$5="Masculino", 25, 20), IF(B175="Abdominal Remador", IF(Dashboard!$E$5="Masculino", 35, 25), IF(B175="Corrida 12 min", IF(Dashboard!$E$5="Masculino", 2200, 1900), ""))))</f>
        <v/>
      </c>
      <c r="E175" s="35" t="str">
        <f t="shared" si="10"/>
        <v/>
      </c>
      <c r="F175" s="36" t="str">
        <f t="shared" si="11"/>
        <v/>
      </c>
    </row>
    <row r="176" spans="1:6" x14ac:dyDescent="0.25">
      <c r="A176" s="30"/>
      <c r="B176" s="31"/>
      <c r="C176" s="30"/>
      <c r="D176" s="19" t="str">
        <f>IF(B176="Barra Fixa", IF(Dashboard!$E$5="Masculino", 4, 15), IF(B176="Meio Sugado", IF(Dashboard!$E$5="Masculino", 25, 20), IF(B176="Abdominal Remador", IF(Dashboard!$E$5="Masculino", 35, 25), IF(B176="Corrida 12 min", IF(Dashboard!$E$5="Masculino", 2200, 1900), ""))))</f>
        <v/>
      </c>
      <c r="E176" s="28" t="str">
        <f t="shared" si="10"/>
        <v/>
      </c>
      <c r="F176" s="29" t="str">
        <f t="shared" si="11"/>
        <v/>
      </c>
    </row>
    <row r="177" spans="1:6" x14ac:dyDescent="0.25">
      <c r="A177" s="32"/>
      <c r="B177" s="33"/>
      <c r="C177" s="32"/>
      <c r="D177" s="34" t="str">
        <f>IF(B177="Barra Fixa", IF(Dashboard!$E$5="Masculino", 4, 15), IF(B177="Meio Sugado", IF(Dashboard!$E$5="Masculino", 25, 20), IF(B177="Abdominal Remador", IF(Dashboard!$E$5="Masculino", 35, 25), IF(B177="Corrida 12 min", IF(Dashboard!$E$5="Masculino", 2200, 1900), ""))))</f>
        <v/>
      </c>
      <c r="E177" s="35" t="str">
        <f t="shared" si="10"/>
        <v/>
      </c>
      <c r="F177" s="36" t="str">
        <f t="shared" si="11"/>
        <v/>
      </c>
    </row>
    <row r="178" spans="1:6" x14ac:dyDescent="0.25">
      <c r="A178" s="30"/>
      <c r="B178" s="31"/>
      <c r="C178" s="30"/>
      <c r="D178" s="19" t="str">
        <f>IF(B178="Barra Fixa", IF(Dashboard!$E$5="Masculino", 4, 15), IF(B178="Meio Sugado", IF(Dashboard!$E$5="Masculino", 25, 20), IF(B178="Abdominal Remador", IF(Dashboard!$E$5="Masculino", 35, 25), IF(B178="Corrida 12 min", IF(Dashboard!$E$5="Masculino", 2200, 1900), ""))))</f>
        <v/>
      </c>
      <c r="E178" s="28" t="str">
        <f t="shared" si="10"/>
        <v/>
      </c>
      <c r="F178" s="29" t="str">
        <f t="shared" si="11"/>
        <v/>
      </c>
    </row>
    <row r="179" spans="1:6" x14ac:dyDescent="0.25">
      <c r="A179" s="32"/>
      <c r="B179" s="33"/>
      <c r="C179" s="32"/>
      <c r="D179" s="34" t="str">
        <f>IF(B179="Barra Fixa", IF(Dashboard!$E$5="Masculino", 4, 15), IF(B179="Meio Sugado", IF(Dashboard!$E$5="Masculino", 25, 20), IF(B179="Abdominal Remador", IF(Dashboard!$E$5="Masculino", 35, 25), IF(B179="Corrida 12 min", IF(Dashboard!$E$5="Masculino", 2200, 1900), ""))))</f>
        <v/>
      </c>
      <c r="E179" s="35" t="str">
        <f t="shared" si="10"/>
        <v/>
      </c>
      <c r="F179" s="36" t="str">
        <f t="shared" si="11"/>
        <v/>
      </c>
    </row>
    <row r="180" spans="1:6" x14ac:dyDescent="0.25">
      <c r="A180" s="30"/>
      <c r="B180" s="31"/>
      <c r="C180" s="30"/>
      <c r="D180" s="19" t="str">
        <f>IF(B180="Barra Fixa", IF(Dashboard!$E$5="Masculino", 4, 15), IF(B180="Meio Sugado", IF(Dashboard!$E$5="Masculino", 25, 20), IF(B180="Abdominal Remador", IF(Dashboard!$E$5="Masculino", 35, 25), IF(B180="Corrida 12 min", IF(Dashboard!$E$5="Masculino", 2200, 1900), ""))))</f>
        <v/>
      </c>
      <c r="E180" s="28" t="str">
        <f t="shared" si="10"/>
        <v/>
      </c>
      <c r="F180" s="29" t="str">
        <f t="shared" si="11"/>
        <v/>
      </c>
    </row>
    <row r="181" spans="1:6" x14ac:dyDescent="0.25">
      <c r="A181" s="32"/>
      <c r="B181" s="33"/>
      <c r="C181" s="32"/>
      <c r="D181" s="34" t="str">
        <f>IF(B181="Barra Fixa", IF(Dashboard!$E$5="Masculino", 4, 15), IF(B181="Meio Sugado", IF(Dashboard!$E$5="Masculino", 25, 20), IF(B181="Abdominal Remador", IF(Dashboard!$E$5="Masculino", 35, 25), IF(B181="Corrida 12 min", IF(Dashboard!$E$5="Masculino", 2200, 1900), ""))))</f>
        <v/>
      </c>
      <c r="E181" s="35" t="str">
        <f t="shared" si="10"/>
        <v/>
      </c>
      <c r="F181" s="36" t="str">
        <f t="shared" si="11"/>
        <v/>
      </c>
    </row>
    <row r="182" spans="1:6" x14ac:dyDescent="0.25">
      <c r="A182" s="30"/>
      <c r="B182" s="31"/>
      <c r="C182" s="30"/>
      <c r="D182" s="19" t="str">
        <f>IF(B182="Barra Fixa", IF(Dashboard!$E$5="Masculino", 4, 15), IF(B182="Meio Sugado", IF(Dashboard!$E$5="Masculino", 25, 20), IF(B182="Abdominal Remador", IF(Dashboard!$E$5="Masculino", 35, 25), IF(B182="Corrida 12 min", IF(Dashboard!$E$5="Masculino", 2200, 1900), ""))))</f>
        <v/>
      </c>
      <c r="E182" s="28" t="str">
        <f t="shared" si="10"/>
        <v/>
      </c>
      <c r="F182" s="29" t="str">
        <f t="shared" si="11"/>
        <v/>
      </c>
    </row>
    <row r="183" spans="1:6" x14ac:dyDescent="0.25">
      <c r="A183" s="32"/>
      <c r="B183" s="33"/>
      <c r="C183" s="32"/>
      <c r="D183" s="34" t="str">
        <f>IF(B183="Barra Fixa", IF(Dashboard!$E$5="Masculino", 4, 15), IF(B183="Meio Sugado", IF(Dashboard!$E$5="Masculino", 25, 20), IF(B183="Abdominal Remador", IF(Dashboard!$E$5="Masculino", 35, 25), IF(B183="Corrida 12 min", IF(Dashboard!$E$5="Masculino", 2200, 1900), ""))))</f>
        <v/>
      </c>
      <c r="E183" s="35" t="str">
        <f t="shared" si="10"/>
        <v/>
      </c>
      <c r="F183" s="36" t="str">
        <f t="shared" si="11"/>
        <v/>
      </c>
    </row>
    <row r="184" spans="1:6" x14ac:dyDescent="0.25">
      <c r="A184" s="30"/>
      <c r="B184" s="31"/>
      <c r="C184" s="30"/>
      <c r="D184" s="19" t="str">
        <f>IF(B184="Barra Fixa", IF(Dashboard!$E$5="Masculino", 4, 15), IF(B184="Meio Sugado", IF(Dashboard!$E$5="Masculino", 25, 20), IF(B184="Abdominal Remador", IF(Dashboard!$E$5="Masculino", 35, 25), IF(B184="Corrida 12 min", IF(Dashboard!$E$5="Masculino", 2200, 1900), ""))))</f>
        <v/>
      </c>
      <c r="E184" s="28" t="str">
        <f t="shared" si="10"/>
        <v/>
      </c>
      <c r="F184" s="29" t="str">
        <f t="shared" si="11"/>
        <v/>
      </c>
    </row>
    <row r="185" spans="1:6" x14ac:dyDescent="0.25">
      <c r="A185" s="32"/>
      <c r="B185" s="33"/>
      <c r="C185" s="32"/>
      <c r="D185" s="34" t="str">
        <f>IF(B185="Barra Fixa", IF(Dashboard!$E$5="Masculino", 4, 15), IF(B185="Meio Sugado", IF(Dashboard!$E$5="Masculino", 25, 20), IF(B185="Abdominal Remador", IF(Dashboard!$E$5="Masculino", 35, 25), IF(B185="Corrida 12 min", IF(Dashboard!$E$5="Masculino", 2200, 1900), ""))))</f>
        <v/>
      </c>
      <c r="E185" s="35" t="str">
        <f t="shared" si="10"/>
        <v/>
      </c>
      <c r="F185" s="36" t="str">
        <f t="shared" si="11"/>
        <v/>
      </c>
    </row>
    <row r="186" spans="1:6" x14ac:dyDescent="0.25">
      <c r="A186" s="30"/>
      <c r="B186" s="31"/>
      <c r="C186" s="30"/>
      <c r="D186" s="19" t="str">
        <f>IF(B186="Barra Fixa", IF(Dashboard!$E$5="Masculino", 4, 15), IF(B186="Meio Sugado", IF(Dashboard!$E$5="Masculino", 25, 20), IF(B186="Abdominal Remador", IF(Dashboard!$E$5="Masculino", 35, 25), IF(B186="Corrida 12 min", IF(Dashboard!$E$5="Masculino", 2200, 1900), ""))))</f>
        <v/>
      </c>
      <c r="E186" s="28" t="str">
        <f t="shared" si="10"/>
        <v/>
      </c>
      <c r="F186" s="29" t="str">
        <f t="shared" si="11"/>
        <v/>
      </c>
    </row>
    <row r="187" spans="1:6" x14ac:dyDescent="0.25">
      <c r="A187" s="32"/>
      <c r="B187" s="33"/>
      <c r="C187" s="32"/>
      <c r="D187" s="34" t="str">
        <f>IF(B187="Barra Fixa", IF(Dashboard!$E$5="Masculino", 4, 15), IF(B187="Meio Sugado", IF(Dashboard!$E$5="Masculino", 25, 20), IF(B187="Abdominal Remador", IF(Dashboard!$E$5="Masculino", 35, 25), IF(B187="Corrida 12 min", IF(Dashboard!$E$5="Masculino", 2200, 1900), ""))))</f>
        <v/>
      </c>
      <c r="E187" s="35" t="str">
        <f t="shared" si="10"/>
        <v/>
      </c>
      <c r="F187" s="36" t="str">
        <f t="shared" si="11"/>
        <v/>
      </c>
    </row>
    <row r="188" spans="1:6" x14ac:dyDescent="0.25">
      <c r="A188" s="30"/>
      <c r="B188" s="31"/>
      <c r="C188" s="30"/>
      <c r="D188" s="19" t="str">
        <f>IF(B188="Barra Fixa", IF(Dashboard!$E$5="Masculino", 4, 15), IF(B188="Meio Sugado", IF(Dashboard!$E$5="Masculino", 25, 20), IF(B188="Abdominal Remador", IF(Dashboard!$E$5="Masculino", 35, 25), IF(B188="Corrida 12 min", IF(Dashboard!$E$5="Masculino", 2200, 1900), ""))))</f>
        <v/>
      </c>
      <c r="E188" s="28" t="str">
        <f t="shared" si="10"/>
        <v/>
      </c>
      <c r="F188" s="29" t="str">
        <f t="shared" si="11"/>
        <v/>
      </c>
    </row>
    <row r="189" spans="1:6" x14ac:dyDescent="0.25">
      <c r="A189" s="32"/>
      <c r="B189" s="33"/>
      <c r="C189" s="32"/>
      <c r="D189" s="34" t="str">
        <f>IF(B189="Barra Fixa", IF(Dashboard!$E$5="Masculino", 4, 15), IF(B189="Meio Sugado", IF(Dashboard!$E$5="Masculino", 25, 20), IF(B189="Abdominal Remador", IF(Dashboard!$E$5="Masculino", 35, 25), IF(B189="Corrida 12 min", IF(Dashboard!$E$5="Masculino", 2200, 1900), ""))))</f>
        <v/>
      </c>
      <c r="E189" s="35" t="str">
        <f t="shared" si="10"/>
        <v/>
      </c>
      <c r="F189" s="36" t="str">
        <f t="shared" si="11"/>
        <v/>
      </c>
    </row>
    <row r="190" spans="1:6" x14ac:dyDescent="0.25">
      <c r="A190" s="30"/>
      <c r="B190" s="31"/>
      <c r="C190" s="30"/>
      <c r="D190" s="19" t="str">
        <f>IF(B190="Barra Fixa", IF(Dashboard!$E$5="Masculino", 4, 15), IF(B190="Meio Sugado", IF(Dashboard!$E$5="Masculino", 25, 20), IF(B190="Abdominal Remador", IF(Dashboard!$E$5="Masculino", 35, 25), IF(B190="Corrida 12 min", IF(Dashboard!$E$5="Masculino", 2200, 1900), ""))))</f>
        <v/>
      </c>
      <c r="E190" s="28" t="str">
        <f t="shared" si="10"/>
        <v/>
      </c>
      <c r="F190" s="29" t="str">
        <f t="shared" si="11"/>
        <v/>
      </c>
    </row>
    <row r="191" spans="1:6" x14ac:dyDescent="0.25">
      <c r="A191" s="32"/>
      <c r="B191" s="33"/>
      <c r="C191" s="32"/>
      <c r="D191" s="34" t="str">
        <f>IF(B191="Barra Fixa", IF(Dashboard!$E$5="Masculino", 4, 15), IF(B191="Meio Sugado", IF(Dashboard!$E$5="Masculino", 25, 20), IF(B191="Abdominal Remador", IF(Dashboard!$E$5="Masculino", 35, 25), IF(B191="Corrida 12 min", IF(Dashboard!$E$5="Masculino", 2200, 1900), ""))))</f>
        <v/>
      </c>
      <c r="E191" s="35" t="str">
        <f t="shared" si="10"/>
        <v/>
      </c>
      <c r="F191" s="36" t="str">
        <f t="shared" si="11"/>
        <v/>
      </c>
    </row>
    <row r="192" spans="1:6" x14ac:dyDescent="0.25">
      <c r="A192" s="30"/>
      <c r="B192" s="31"/>
      <c r="C192" s="30"/>
      <c r="D192" s="19" t="str">
        <f>IF(B192="Barra Fixa", IF(Dashboard!$E$5="Masculino", 4, 15), IF(B192="Meio Sugado", IF(Dashboard!$E$5="Masculino", 25, 20), IF(B192="Abdominal Remador", IF(Dashboard!$E$5="Masculino", 35, 25), IF(B192="Corrida 12 min", IF(Dashboard!$E$5="Masculino", 2200, 1900), ""))))</f>
        <v/>
      </c>
      <c r="E192" s="28" t="str">
        <f t="shared" si="10"/>
        <v/>
      </c>
      <c r="F192" s="29" t="str">
        <f t="shared" si="11"/>
        <v/>
      </c>
    </row>
    <row r="193" spans="1:6" x14ac:dyDescent="0.25">
      <c r="A193" s="32"/>
      <c r="B193" s="33"/>
      <c r="C193" s="32"/>
      <c r="D193" s="34" t="str">
        <f>IF(B193="Barra Fixa", IF(Dashboard!$E$5="Masculino", 4, 15), IF(B193="Meio Sugado", IF(Dashboard!$E$5="Masculino", 25, 20), IF(B193="Abdominal Remador", IF(Dashboard!$E$5="Masculino", 35, 25), IF(B193="Corrida 12 min", IF(Dashboard!$E$5="Masculino", 2200, 1900), ""))))</f>
        <v/>
      </c>
      <c r="E193" s="35" t="str">
        <f t="shared" si="10"/>
        <v/>
      </c>
      <c r="F193" s="36" t="str">
        <f t="shared" si="11"/>
        <v/>
      </c>
    </row>
    <row r="194" spans="1:6" x14ac:dyDescent="0.25">
      <c r="A194" s="30"/>
      <c r="B194" s="31"/>
      <c r="C194" s="30"/>
      <c r="D194" s="19" t="str">
        <f>IF(B194="Barra Fixa", IF(Dashboard!$E$5="Masculino", 4, 15), IF(B194="Meio Sugado", IF(Dashboard!$E$5="Masculino", 25, 20), IF(B194="Abdominal Remador", IF(Dashboard!$E$5="Masculino", 35, 25), IF(B194="Corrida 12 min", IF(Dashboard!$E$5="Masculino", 2200, 1900), ""))))</f>
        <v/>
      </c>
      <c r="E194" s="28" t="str">
        <f t="shared" ref="E194:E199" si="12">IF(OR(C194="",D194=""), "", C194/D194)</f>
        <v/>
      </c>
      <c r="F194" s="29" t="str">
        <f t="shared" ref="F194:F199" si="13">IF(OR(C194="",D194=""), "", IF(C194&gt;=D194, "META ALCANÇADA", "ABAIXO DA META"))</f>
        <v/>
      </c>
    </row>
    <row r="195" spans="1:6" x14ac:dyDescent="0.25">
      <c r="A195" s="32"/>
      <c r="B195" s="33"/>
      <c r="C195" s="32"/>
      <c r="D195" s="34" t="str">
        <f>IF(B195="Barra Fixa", IF(Dashboard!$E$5="Masculino", 4, 15), IF(B195="Meio Sugado", IF(Dashboard!$E$5="Masculino", 25, 20), IF(B195="Abdominal Remador", IF(Dashboard!$E$5="Masculino", 35, 25), IF(B195="Corrida 12 min", IF(Dashboard!$E$5="Masculino", 2200, 1900), ""))))</f>
        <v/>
      </c>
      <c r="E195" s="35" t="str">
        <f t="shared" si="12"/>
        <v/>
      </c>
      <c r="F195" s="36" t="str">
        <f t="shared" si="13"/>
        <v/>
      </c>
    </row>
    <row r="196" spans="1:6" x14ac:dyDescent="0.25">
      <c r="A196" s="30"/>
      <c r="B196" s="31"/>
      <c r="C196" s="30"/>
      <c r="D196" s="19" t="str">
        <f>IF(B196="Barra Fixa", IF(Dashboard!$E$5="Masculino", 4, 15), IF(B196="Meio Sugado", IF(Dashboard!$E$5="Masculino", 25, 20), IF(B196="Abdominal Remador", IF(Dashboard!$E$5="Masculino", 35, 25), IF(B196="Corrida 12 min", IF(Dashboard!$E$5="Masculino", 2200, 1900), ""))))</f>
        <v/>
      </c>
      <c r="E196" s="28" t="str">
        <f t="shared" si="12"/>
        <v/>
      </c>
      <c r="F196" s="29" t="str">
        <f t="shared" si="13"/>
        <v/>
      </c>
    </row>
    <row r="197" spans="1:6" x14ac:dyDescent="0.25">
      <c r="A197" s="32"/>
      <c r="B197" s="33"/>
      <c r="C197" s="32"/>
      <c r="D197" s="34" t="str">
        <f>IF(B197="Barra Fixa", IF(Dashboard!$E$5="Masculino", 4, 15), IF(B197="Meio Sugado", IF(Dashboard!$E$5="Masculino", 25, 20), IF(B197="Abdominal Remador", IF(Dashboard!$E$5="Masculino", 35, 25), IF(B197="Corrida 12 min", IF(Dashboard!$E$5="Masculino", 2200, 1900), ""))))</f>
        <v/>
      </c>
      <c r="E197" s="35" t="str">
        <f t="shared" si="12"/>
        <v/>
      </c>
      <c r="F197" s="36" t="str">
        <f t="shared" si="13"/>
        <v/>
      </c>
    </row>
    <row r="198" spans="1:6" x14ac:dyDescent="0.25">
      <c r="A198" s="30"/>
      <c r="B198" s="31"/>
      <c r="C198" s="30"/>
      <c r="D198" s="19" t="str">
        <f>IF(B198="Barra Fixa", IF(Dashboard!$E$5="Masculino", 4, 15), IF(B198="Meio Sugado", IF(Dashboard!$E$5="Masculino", 25, 20), IF(B198="Abdominal Remador", IF(Dashboard!$E$5="Masculino", 35, 25), IF(B198="Corrida 12 min", IF(Dashboard!$E$5="Masculino", 2200, 1900), ""))))</f>
        <v/>
      </c>
      <c r="E198" s="28" t="str">
        <f t="shared" si="12"/>
        <v/>
      </c>
      <c r="F198" s="29" t="str">
        <f t="shared" si="13"/>
        <v/>
      </c>
    </row>
    <row r="199" spans="1:6" x14ac:dyDescent="0.25">
      <c r="A199" s="32"/>
      <c r="B199" s="33"/>
      <c r="C199" s="32"/>
      <c r="D199" s="34" t="str">
        <f>IF(B199="Barra Fixa", IF(Dashboard!$E$5="Masculino", 4, 15), IF(B199="Meio Sugado", IF(Dashboard!$E$5="Masculino", 25, 20), IF(B199="Abdominal Remador", IF(Dashboard!$E$5="Masculino", 35, 25), IF(B199="Corrida 12 min", IF(Dashboard!$E$5="Masculino", 2200, 1900), ""))))</f>
        <v/>
      </c>
      <c r="E199" s="35" t="str">
        <f t="shared" si="12"/>
        <v/>
      </c>
      <c r="F199" s="36" t="str">
        <f t="shared" si="13"/>
        <v/>
      </c>
    </row>
  </sheetData>
  <dataValidations count="1">
    <dataValidation type="list" sqref="B2:B200" xr:uid="{00000000-0002-0000-0500-000000000000}">
      <formula1>"Barra Fixa,Meio Sugado,Abdominal Remador,Corrida 12 min"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Dados_Dashboard</vt:lpstr>
      <vt:lpstr>Dashboard</vt:lpstr>
      <vt:lpstr>Cronograma de Estudos</vt:lpstr>
      <vt:lpstr>Controle do Edital</vt:lpstr>
      <vt:lpstr>Registro de Estudos</vt:lpstr>
      <vt:lpstr>Treino do TAF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Anderson Gomes Costa</cp:lastModifiedBy>
  <cp:lastPrinted>2026-07-14T21:35:36Z</cp:lastPrinted>
  <dcterms:created xsi:type="dcterms:W3CDTF">2026-07-14T14:39:07Z</dcterms:created>
  <dcterms:modified xsi:type="dcterms:W3CDTF">2026-07-16T15:14:12Z</dcterms:modified>
</cp:coreProperties>
</file>